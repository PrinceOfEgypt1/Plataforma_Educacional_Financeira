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aster Backlog" sheetId="2" state="visible" r:id="rId2"/>
    <sheet xmlns:r="http://schemas.openxmlformats.org/officeDocument/2006/relationships" name="Sprint_0" sheetId="3" state="visible" r:id="rId3"/>
    <sheet xmlns:r="http://schemas.openxmlformats.org/officeDocument/2006/relationships" name="Sprint_1" sheetId="4" state="visible" r:id="rId4"/>
    <sheet xmlns:r="http://schemas.openxmlformats.org/officeDocument/2006/relationships" name="Sprint_2" sheetId="5" state="visible" r:id="rId5"/>
    <sheet xmlns:r="http://schemas.openxmlformats.org/officeDocument/2006/relationships" name="Sprint_3" sheetId="6" state="visible" r:id="rId6"/>
    <sheet xmlns:r="http://schemas.openxmlformats.org/officeDocument/2006/relationships" name="Sprint_4" sheetId="7" state="visible" r:id="rId7"/>
    <sheet xmlns:r="http://schemas.openxmlformats.org/officeDocument/2006/relationships" name="Sprint_5" sheetId="8" state="visible" r:id="rId8"/>
    <sheet xmlns:r="http://schemas.openxmlformats.org/officeDocument/2006/relationships" name="Sprint_6" sheetId="9" state="visible" r:id="rId9"/>
    <sheet xmlns:r="http://schemas.openxmlformats.org/officeDocument/2006/relationships" name="Sprint_7" sheetId="10" state="visible" r:id="rId10"/>
    <sheet xmlns:r="http://schemas.openxmlformats.org/officeDocument/2006/relationships" name="Sprint_8" sheetId="11" state="visible" r:id="rId11"/>
    <sheet xmlns:r="http://schemas.openxmlformats.org/officeDocument/2006/relationships" name="Sprint_9" sheetId="12" state="visible" r:id="rId12"/>
  </sheets>
  <definedNames>
    <definedName name="_xlnm._FilterDatabase" localSheetId="1" hidden="1">'Master Backlog'!$A$1:$M$151</definedName>
    <definedName name="_xlnm._FilterDatabase" localSheetId="2" hidden="1">'Sprint_0'!$A$1:$M$9</definedName>
    <definedName name="_xlnm._FilterDatabase" localSheetId="3" hidden="1">'Sprint_1'!$A$1:$M$11</definedName>
    <definedName name="_xlnm._FilterDatabase" localSheetId="4" hidden="1">'Sprint_2'!$A$1:$M$13</definedName>
    <definedName name="_xlnm._FilterDatabase" localSheetId="5" hidden="1">'Sprint_3'!$A$1:$M$13</definedName>
    <definedName name="_xlnm._FilterDatabase" localSheetId="6" hidden="1">'Sprint_4'!$A$1:$M$20</definedName>
    <definedName name="_xlnm._FilterDatabase" localSheetId="7" hidden="1">'Sprint_5'!$A$1:$M$25</definedName>
    <definedName name="_xlnm._FilterDatabase" localSheetId="8" hidden="1">'Sprint_6'!$A$1:$M$24</definedName>
    <definedName name="_xlnm._FilterDatabase" localSheetId="9" hidden="1">'Sprint_7'!$A$1:$M$12</definedName>
    <definedName name="_xlnm._FilterDatabase" localSheetId="10" hidden="1">'Sprint_8'!$A$1:$M$14</definedName>
    <definedName name="_xlnm._FilterDatabase" localSheetId="11" hidden="1">'Sprint_9'!$A$1:$M$19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Resumo do Acompanhamento</t>
        </is>
      </c>
    </row>
    <row r="2">
      <c r="A2" s="2" t="inlineStr">
        <is>
          <t>Sprint</t>
        </is>
      </c>
      <c r="B2" s="2" t="inlineStr">
        <is>
          <t>Total tarefas</t>
        </is>
      </c>
      <c r="C2" s="2" t="inlineStr">
        <is>
          <t>Não iniciada</t>
        </is>
      </c>
      <c r="D2" s="2" t="inlineStr">
        <is>
          <t>Em andamento</t>
        </is>
      </c>
      <c r="E2" s="2" t="inlineStr">
        <is>
          <t>Bloqueada</t>
        </is>
      </c>
      <c r="F2" s="2" t="inlineStr">
        <is>
          <t>Em validação</t>
        </is>
      </c>
      <c r="G2" s="2" t="inlineStr">
        <is>
          <t>Concluída</t>
        </is>
      </c>
    </row>
    <row r="3">
      <c r="A3" s="3" t="inlineStr">
        <is>
          <t>Sprint 0</t>
        </is>
      </c>
      <c r="B3" s="4">
        <f>COUNTIF('Master Backlog'!$B:$B,A3)</f>
        <v/>
      </c>
      <c r="C3" s="4">
        <f>COUNTIFS('Master Backlog'!$B:$B,$A3,'Master Backlog'!$G:$G,"Não iniciada")</f>
        <v/>
      </c>
      <c r="D3" s="4">
        <f>COUNTIFS('Master Backlog'!$B:$B,$A3,'Master Backlog'!$G:$G,"Em andamento")</f>
        <v/>
      </c>
      <c r="E3" s="4">
        <f>COUNTIFS('Master Backlog'!$B:$B,$A3,'Master Backlog'!$G:$G,"Bloqueada")</f>
        <v/>
      </c>
      <c r="F3" s="4">
        <f>COUNTIFS('Master Backlog'!$B:$B,$A3,'Master Backlog'!$G:$G,"Em validação")</f>
        <v/>
      </c>
      <c r="G3" s="4">
        <f>COUNTIFS('Master Backlog'!$B:$B,$A3,'Master Backlog'!$G:$G,"Concluída")</f>
        <v/>
      </c>
    </row>
    <row r="4">
      <c r="A4" s="5" t="inlineStr">
        <is>
          <t>Sprint 1</t>
        </is>
      </c>
      <c r="B4" s="4">
        <f>COUNTIF('Master Backlog'!$B:$B,A4)</f>
        <v/>
      </c>
      <c r="C4" s="4">
        <f>COUNTIFS('Master Backlog'!$B:$B,$A4,'Master Backlog'!$G:$G,"Não iniciada")</f>
        <v/>
      </c>
      <c r="D4" s="4">
        <f>COUNTIFS('Master Backlog'!$B:$B,$A4,'Master Backlog'!$G:$G,"Em andamento")</f>
        <v/>
      </c>
      <c r="E4" s="4">
        <f>COUNTIFS('Master Backlog'!$B:$B,$A4,'Master Backlog'!$G:$G,"Bloqueada")</f>
        <v/>
      </c>
      <c r="F4" s="4">
        <f>COUNTIFS('Master Backlog'!$B:$B,$A4,'Master Backlog'!$G:$G,"Em validação")</f>
        <v/>
      </c>
      <c r="G4" s="4">
        <f>COUNTIFS('Master Backlog'!$B:$B,$A4,'Master Backlog'!$G:$G,"Concluída")</f>
        <v/>
      </c>
    </row>
    <row r="5">
      <c r="A5" s="3" t="inlineStr">
        <is>
          <t>Sprint 2</t>
        </is>
      </c>
      <c r="B5" s="4">
        <f>COUNTIF('Master Backlog'!$B:$B,A5)</f>
        <v/>
      </c>
      <c r="C5" s="4">
        <f>COUNTIFS('Master Backlog'!$B:$B,$A5,'Master Backlog'!$G:$G,"Não iniciada")</f>
        <v/>
      </c>
      <c r="D5" s="4">
        <f>COUNTIFS('Master Backlog'!$B:$B,$A5,'Master Backlog'!$G:$G,"Em andamento")</f>
        <v/>
      </c>
      <c r="E5" s="4">
        <f>COUNTIFS('Master Backlog'!$B:$B,$A5,'Master Backlog'!$G:$G,"Bloqueada")</f>
        <v/>
      </c>
      <c r="F5" s="4">
        <f>COUNTIFS('Master Backlog'!$B:$B,$A5,'Master Backlog'!$G:$G,"Em validação")</f>
        <v/>
      </c>
      <c r="G5" s="4">
        <f>COUNTIFS('Master Backlog'!$B:$B,$A5,'Master Backlog'!$G:$G,"Concluída")</f>
        <v/>
      </c>
    </row>
    <row r="6">
      <c r="A6" s="3" t="inlineStr">
        <is>
          <t>Sprint 3</t>
        </is>
      </c>
      <c r="B6" s="4">
        <f>COUNTIF('Master Backlog'!$B:$B,A6)</f>
        <v/>
      </c>
      <c r="C6" s="4">
        <f>COUNTIFS('Master Backlog'!$B:$B,$A6,'Master Backlog'!$G:$G,"Não iniciada")</f>
        <v/>
      </c>
      <c r="D6" s="4">
        <f>COUNTIFS('Master Backlog'!$B:$B,$A6,'Master Backlog'!$G:$G,"Em andamento")</f>
        <v/>
      </c>
      <c r="E6" s="4">
        <f>COUNTIFS('Master Backlog'!$B:$B,$A6,'Master Backlog'!$G:$G,"Bloqueada")</f>
        <v/>
      </c>
      <c r="F6" s="4">
        <f>COUNTIFS('Master Backlog'!$B:$B,$A6,'Master Backlog'!$G:$G,"Em validação")</f>
        <v/>
      </c>
      <c r="G6" s="4">
        <f>COUNTIFS('Master Backlog'!$B:$B,$A6,'Master Backlog'!$G:$G,"Concluída")</f>
        <v/>
      </c>
    </row>
    <row r="7">
      <c r="A7" s="3" t="inlineStr">
        <is>
          <t>Sprint 4</t>
        </is>
      </c>
      <c r="B7" s="4">
        <f>COUNTIF('Master Backlog'!$B:$B,A7)</f>
        <v/>
      </c>
      <c r="C7" s="4">
        <f>COUNTIFS('Master Backlog'!$B:$B,$A7,'Master Backlog'!$G:$G,"Não iniciada")</f>
        <v/>
      </c>
      <c r="D7" s="4">
        <f>COUNTIFS('Master Backlog'!$B:$B,$A7,'Master Backlog'!$G:$G,"Em andamento")</f>
        <v/>
      </c>
      <c r="E7" s="4">
        <f>COUNTIFS('Master Backlog'!$B:$B,$A7,'Master Backlog'!$G:$G,"Bloqueada")</f>
        <v/>
      </c>
      <c r="F7" s="4">
        <f>COUNTIFS('Master Backlog'!$B:$B,$A7,'Master Backlog'!$G:$G,"Em validação")</f>
        <v/>
      </c>
      <c r="G7" s="4">
        <f>COUNTIFS('Master Backlog'!$B:$B,$A7,'Master Backlog'!$G:$G,"Concluída")</f>
        <v/>
      </c>
    </row>
    <row r="8">
      <c r="A8" s="3" t="inlineStr">
        <is>
          <t>Sprint 5</t>
        </is>
      </c>
      <c r="B8" s="4">
        <f>COUNTIF('Master Backlog'!$B:$B,A8)</f>
        <v/>
      </c>
      <c r="C8" s="4">
        <f>COUNTIFS('Master Backlog'!$B:$B,$A8,'Master Backlog'!$G:$G,"Não iniciada")</f>
        <v/>
      </c>
      <c r="D8" s="4">
        <f>COUNTIFS('Master Backlog'!$B:$B,$A8,'Master Backlog'!$G:$G,"Em andamento")</f>
        <v/>
      </c>
      <c r="E8" s="4">
        <f>COUNTIFS('Master Backlog'!$B:$B,$A8,'Master Backlog'!$G:$G,"Bloqueada")</f>
        <v/>
      </c>
      <c r="F8" s="4">
        <f>COUNTIFS('Master Backlog'!$B:$B,$A8,'Master Backlog'!$G:$G,"Em validação")</f>
        <v/>
      </c>
      <c r="G8" s="4">
        <f>COUNTIFS('Master Backlog'!$B:$B,$A8,'Master Backlog'!$G:$G,"Concluída")</f>
        <v/>
      </c>
    </row>
    <row r="9">
      <c r="A9" s="3" t="inlineStr">
        <is>
          <t>Sprint 6</t>
        </is>
      </c>
      <c r="B9" s="4">
        <f>COUNTIF('Master Backlog'!$B:$B,A9)</f>
        <v/>
      </c>
      <c r="C9" s="4">
        <f>COUNTIFS('Master Backlog'!$B:$B,$A9,'Master Backlog'!$G:$G,"Não iniciada")</f>
        <v/>
      </c>
      <c r="D9" s="4">
        <f>COUNTIFS('Master Backlog'!$B:$B,$A9,'Master Backlog'!$G:$G,"Em andamento")</f>
        <v/>
      </c>
      <c r="E9" s="4">
        <f>COUNTIFS('Master Backlog'!$B:$B,$A9,'Master Backlog'!$G:$G,"Bloqueada")</f>
        <v/>
      </c>
      <c r="F9" s="4">
        <f>COUNTIFS('Master Backlog'!$B:$B,$A9,'Master Backlog'!$G:$G,"Em validação")</f>
        <v/>
      </c>
      <c r="G9" s="4">
        <f>COUNTIFS('Master Backlog'!$B:$B,$A9,'Master Backlog'!$G:$G,"Concluída")</f>
        <v/>
      </c>
    </row>
    <row r="10">
      <c r="A10" s="3" t="inlineStr">
        <is>
          <t>Sprint 7</t>
        </is>
      </c>
      <c r="B10" s="4">
        <f>COUNTIF('Master Backlog'!$B:$B,A10)</f>
        <v/>
      </c>
      <c r="C10" s="4">
        <f>COUNTIFS('Master Backlog'!$B:$B,$A10,'Master Backlog'!$G:$G,"Não iniciada")</f>
        <v/>
      </c>
      <c r="D10" s="4">
        <f>COUNTIFS('Master Backlog'!$B:$B,$A10,'Master Backlog'!$G:$G,"Em andamento")</f>
        <v/>
      </c>
      <c r="E10" s="4">
        <f>COUNTIFS('Master Backlog'!$B:$B,$A10,'Master Backlog'!$G:$G,"Bloqueada")</f>
        <v/>
      </c>
      <c r="F10" s="4">
        <f>COUNTIFS('Master Backlog'!$B:$B,$A10,'Master Backlog'!$G:$G,"Em validação")</f>
        <v/>
      </c>
      <c r="G10" s="4">
        <f>COUNTIFS('Master Backlog'!$B:$B,$A10,'Master Backlog'!$G:$G,"Concluída")</f>
        <v/>
      </c>
    </row>
    <row r="11">
      <c r="A11" s="3" t="inlineStr">
        <is>
          <t>Sprint 8</t>
        </is>
      </c>
      <c r="B11" s="4">
        <f>COUNTIF('Master Backlog'!$B:$B,A11)</f>
        <v/>
      </c>
      <c r="C11" s="4">
        <f>COUNTIFS('Master Backlog'!$B:$B,$A11,'Master Backlog'!$G:$G,"Não iniciada")</f>
        <v/>
      </c>
      <c r="D11" s="4">
        <f>COUNTIFS('Master Backlog'!$B:$B,$A11,'Master Backlog'!$G:$G,"Em andamento")</f>
        <v/>
      </c>
      <c r="E11" s="4">
        <f>COUNTIFS('Master Backlog'!$B:$B,$A11,'Master Backlog'!$G:$G,"Bloqueada")</f>
        <v/>
      </c>
      <c r="F11" s="4">
        <f>COUNTIFS('Master Backlog'!$B:$B,$A11,'Master Backlog'!$G:$G,"Em validação")</f>
        <v/>
      </c>
      <c r="G11" s="4">
        <f>COUNTIFS('Master Backlog'!$B:$B,$A11,'Master Backlog'!$G:$G,"Concluída")</f>
        <v/>
      </c>
    </row>
    <row r="12">
      <c r="A12" s="3" t="inlineStr">
        <is>
          <t>Sprint 9</t>
        </is>
      </c>
      <c r="B12" s="4">
        <f>COUNTIF('Master Backlog'!$B:$B,A12)</f>
        <v/>
      </c>
      <c r="C12" s="4">
        <f>COUNTIFS('Master Backlog'!$B:$B,$A12,'Master Backlog'!$G:$G,"Não iniciada")</f>
        <v/>
      </c>
      <c r="D12" s="4">
        <f>COUNTIFS('Master Backlog'!$B:$B,$A12,'Master Backlog'!$G:$G,"Em andamento")</f>
        <v/>
      </c>
      <c r="E12" s="4">
        <f>COUNTIFS('Master Backlog'!$B:$B,$A12,'Master Backlog'!$G:$G,"Bloqueada")</f>
        <v/>
      </c>
      <c r="F12" s="4">
        <f>COUNTIFS('Master Backlog'!$B:$B,$A12,'Master Backlog'!$G:$G,"Em validação")</f>
        <v/>
      </c>
      <c r="G12" s="4">
        <f>COUNTIFS('Master Backlog'!$B:$B,$A12,'Master Backlog'!$G:$G,"Concluída")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2" customWidth="1" min="4" max="4"/>
    <col width="44" customWidth="1" min="5" max="5"/>
    <col width="22" customWidth="1" min="6" max="6"/>
    <col width="16" customWidth="1" min="7" max="7"/>
    <col width="38" customWidth="1" min="8" max="8"/>
    <col width="22" customWidth="1" min="9" max="9"/>
    <col width="12" customWidth="1" min="10" max="10"/>
    <col width="12" customWidth="1" min="11" max="11"/>
    <col width="14" customWidth="1" min="12" max="12"/>
    <col width="28" customWidth="1" min="13" max="13"/>
  </cols>
  <sheetData>
    <row r="1">
      <c r="A1" s="6" t="inlineStr">
        <is>
          <t>ID</t>
        </is>
      </c>
      <c r="B1" s="6" t="inlineStr">
        <is>
          <t>Sprint</t>
        </is>
      </c>
      <c r="C1" s="6" t="inlineStr">
        <is>
          <t>Área</t>
        </is>
      </c>
      <c r="D1" s="6" t="inlineStr">
        <is>
          <t>Descrição</t>
        </is>
      </c>
      <c r="E1" s="6" t="inlineStr">
        <is>
          <t>Arquivos principais</t>
        </is>
      </c>
      <c r="F1" s="6" t="inlineStr">
        <is>
          <t>Dependências</t>
        </is>
      </c>
      <c r="G1" s="6" t="inlineStr">
        <is>
          <t>Status</t>
        </is>
      </c>
      <c r="H1" s="6" t="inlineStr">
        <is>
          <t>Critério de aceite</t>
        </is>
      </c>
      <c r="I1" s="6" t="inlineStr">
        <is>
          <t>Responsável principal</t>
        </is>
      </c>
      <c r="J1" s="6" t="inlineStr">
        <is>
          <t>Prioridade</t>
        </is>
      </c>
      <c r="K1" s="6" t="inlineStr">
        <is>
          <t>Data início</t>
        </is>
      </c>
      <c r="L1" s="6" t="inlineStr">
        <is>
          <t>Data conclusão</t>
        </is>
      </c>
      <c r="M1" s="6" t="inlineStr">
        <is>
          <t>Observações/Bloqueios</t>
        </is>
      </c>
    </row>
    <row r="2">
      <c r="A2" s="3" t="inlineStr">
        <is>
          <t>OPS-001</t>
        </is>
      </c>
      <c r="B2" s="4" t="n">
        <v>0</v>
      </c>
      <c r="C2" s="3" t="inlineStr">
        <is>
          <t>Operação</t>
        </is>
      </c>
      <c r="D2" s="3" t="inlineStr">
        <is>
          <t>Criar estrutura raiz do repositório</t>
        </is>
      </c>
      <c r="E2" s="3" t="inlineStr">
        <is>
          <t>.gitignore; .env.example; README.md; Makefile; diretórios base</t>
        </is>
      </c>
      <c r="F2" s="3" t="inlineStr">
        <is>
          <t>—</t>
        </is>
      </c>
      <c r="G2" s="4" t="inlineStr">
        <is>
          <t>Não iniciada</t>
        </is>
      </c>
      <c r="H2" s="3" t="inlineStr">
        <is>
          <t>Estrutura raiz criada e consistente com a arquitetura</t>
        </is>
      </c>
      <c r="I2" s="3" t="inlineStr">
        <is>
          <t>Arquiteto / DevOps</t>
        </is>
      </c>
      <c r="J2" s="7" t="inlineStr">
        <is>
          <t>Alta</t>
        </is>
      </c>
      <c r="K2" s="8" t="inlineStr"/>
      <c r="L2" s="8" t="inlineStr"/>
      <c r="M2" s="3" t="inlineStr"/>
    </row>
    <row r="3">
      <c r="A3" s="3" t="inlineStr">
        <is>
          <t>BE-001</t>
        </is>
      </c>
      <c r="B3" s="4" t="n">
        <v>0</v>
      </c>
      <c r="C3" s="3" t="inlineStr">
        <is>
          <t>Backend</t>
        </is>
      </c>
      <c r="D3" s="3" t="inlineStr">
        <is>
          <t>Inicializar backend FastAPI</t>
        </is>
      </c>
      <c r="E3" s="3" t="inlineStr">
        <is>
          <t>backend/app/main.py; backend/app/api/; backend/app/core/; requirements/pyproject</t>
        </is>
      </c>
      <c r="F3" s="3" t="inlineStr">
        <is>
          <t>OPS-001</t>
        </is>
      </c>
      <c r="G3" s="4" t="inlineStr">
        <is>
          <t>Não iniciada</t>
        </is>
      </c>
      <c r="H3" s="3" t="inlineStr">
        <is>
          <t>Backend sobe localmente</t>
        </is>
      </c>
      <c r="I3" s="3" t="inlineStr">
        <is>
          <t>Backend</t>
        </is>
      </c>
      <c r="J3" s="7" t="inlineStr">
        <is>
          <t>Alta</t>
        </is>
      </c>
      <c r="K3" s="8" t="inlineStr"/>
      <c r="L3" s="8" t="inlineStr"/>
      <c r="M3" s="3" t="inlineStr"/>
    </row>
    <row r="4">
      <c r="A4" s="3" t="inlineStr">
        <is>
          <t>BE-002</t>
        </is>
      </c>
      <c r="B4" s="4" t="n">
        <v>0</v>
      </c>
      <c r="C4" s="3" t="inlineStr">
        <is>
          <t>Backend</t>
        </is>
      </c>
      <c r="D4" s="3" t="inlineStr">
        <is>
          <t>Implementar endpoint /health</t>
        </is>
      </c>
      <c r="E4" s="3" t="inlineStr">
        <is>
          <t>backend/app/api/routes/health.py; backend/app/main.py</t>
        </is>
      </c>
      <c r="F4" s="3" t="inlineStr">
        <is>
          <t>BE-001</t>
        </is>
      </c>
      <c r="G4" s="4" t="inlineStr">
        <is>
          <t>Não iniciada</t>
        </is>
      </c>
      <c r="H4" s="3" t="inlineStr">
        <is>
          <t>GET /health responde 200 com payload mínimo</t>
        </is>
      </c>
      <c r="I4" s="3" t="inlineStr">
        <is>
          <t>Backend</t>
        </is>
      </c>
      <c r="J4" s="7" t="inlineStr">
        <is>
          <t>Alta</t>
        </is>
      </c>
      <c r="K4" s="8" t="inlineStr"/>
      <c r="L4" s="8" t="inlineStr"/>
      <c r="M4" s="3" t="inlineStr"/>
    </row>
    <row r="5">
      <c r="A5" s="3" t="inlineStr">
        <is>
          <t>FE-001</t>
        </is>
      </c>
      <c r="B5" s="4" t="n">
        <v>0</v>
      </c>
      <c r="C5" s="3" t="inlineStr">
        <is>
          <t>Frontend</t>
        </is>
      </c>
      <c r="D5" s="3" t="inlineStr">
        <is>
          <t>Inicializar frontend Next.js com TypeScript</t>
        </is>
      </c>
      <c r="E5" s="3" t="inlineStr">
        <is>
          <t>frontend/package.json; tsconfig; src/app/layout.tsx; src/app/page.tsx</t>
        </is>
      </c>
      <c r="F5" s="3" t="inlineStr">
        <is>
          <t>OPS-001</t>
        </is>
      </c>
      <c r="G5" s="4" t="inlineStr">
        <is>
          <t>Não iniciada</t>
        </is>
      </c>
      <c r="H5" s="3" t="inlineStr">
        <is>
          <t>Frontend sobe localmente</t>
        </is>
      </c>
      <c r="I5" s="3" t="inlineStr">
        <is>
          <t>Frontend</t>
        </is>
      </c>
      <c r="J5" s="7" t="inlineStr">
        <is>
          <t>Alta</t>
        </is>
      </c>
      <c r="K5" s="8" t="inlineStr"/>
      <c r="L5" s="8" t="inlineStr"/>
      <c r="M5" s="3" t="inlineStr"/>
    </row>
    <row r="6">
      <c r="A6" s="3" t="inlineStr">
        <is>
          <t>FE-002</t>
        </is>
      </c>
      <c r="B6" s="4" t="n">
        <v>0</v>
      </c>
      <c r="C6" s="3" t="inlineStr">
        <is>
          <t>Frontend</t>
        </is>
      </c>
      <c r="D6" s="3" t="inlineStr">
        <is>
          <t>Criar cliente básico de API</t>
        </is>
      </c>
      <c r="E6" s="3" t="inlineStr">
        <is>
          <t>frontend/src/lib/api.ts; frontend/src/lib/constants.ts</t>
        </is>
      </c>
      <c r="F6" s="3" t="inlineStr">
        <is>
          <t>FE-001, BE-002</t>
        </is>
      </c>
      <c r="G6" s="4" t="inlineStr">
        <is>
          <t>Não iniciada</t>
        </is>
      </c>
      <c r="H6" s="3" t="inlineStr">
        <is>
          <t>Frontend consegue chamar o backend</t>
        </is>
      </c>
      <c r="I6" s="3" t="inlineStr">
        <is>
          <t>Frontend</t>
        </is>
      </c>
      <c r="J6" s="7" t="inlineStr">
        <is>
          <t>Alta</t>
        </is>
      </c>
      <c r="K6" s="8" t="inlineStr"/>
      <c r="L6" s="8" t="inlineStr"/>
      <c r="M6" s="3" t="inlineStr"/>
    </row>
    <row r="7">
      <c r="A7" s="3" t="inlineStr">
        <is>
          <t>FE-003</t>
        </is>
      </c>
      <c r="B7" s="4" t="n">
        <v>0</v>
      </c>
      <c r="C7" s="3" t="inlineStr">
        <is>
          <t>Frontend</t>
        </is>
      </c>
      <c r="D7" s="3" t="inlineStr">
        <is>
          <t>Criar página inicial técnica mínima</t>
        </is>
      </c>
      <c r="E7" s="3" t="inlineStr">
        <is>
          <t>frontend/src/app/page.tsx</t>
        </is>
      </c>
      <c r="F7" s="3" t="inlineStr">
        <is>
          <t>FE-002</t>
        </is>
      </c>
      <c r="G7" s="4" t="inlineStr">
        <is>
          <t>Não iniciada</t>
        </is>
      </c>
      <c r="H7" s="3" t="inlineStr">
        <is>
          <t>Página inicial mostra status da API</t>
        </is>
      </c>
      <c r="I7" s="3" t="inlineStr">
        <is>
          <t>Frontend</t>
        </is>
      </c>
      <c r="J7" s="9" t="inlineStr">
        <is>
          <t>Média</t>
        </is>
      </c>
      <c r="K7" s="8" t="inlineStr"/>
      <c r="L7" s="8" t="inlineStr"/>
      <c r="M7" s="3" t="inlineStr"/>
    </row>
    <row r="8">
      <c r="A8" s="3" t="inlineStr">
        <is>
          <t>QA-001</t>
        </is>
      </c>
      <c r="B8" s="4" t="n">
        <v>0</v>
      </c>
      <c r="C8" s="3" t="inlineStr">
        <is>
          <t>Testes</t>
        </is>
      </c>
      <c r="D8" s="3" t="inlineStr">
        <is>
          <t>Criar teste inicial do backend</t>
        </is>
      </c>
      <c r="E8" s="3" t="inlineStr">
        <is>
          <t>backend/tests/test_health.py</t>
        </is>
      </c>
      <c r="F8" s="3" t="inlineStr">
        <is>
          <t>BE-002</t>
        </is>
      </c>
      <c r="G8" s="4" t="inlineStr">
        <is>
          <t>Não iniciada</t>
        </is>
      </c>
      <c r="H8" s="3" t="inlineStr">
        <is>
          <t>Teste cobre status 200 e contrato mínimo do /health</t>
        </is>
      </c>
      <c r="I8" s="3" t="inlineStr">
        <is>
          <t>QA / Backend</t>
        </is>
      </c>
      <c r="J8" s="7" t="inlineStr">
        <is>
          <t>Alta</t>
        </is>
      </c>
      <c r="K8" s="8" t="inlineStr"/>
      <c r="L8" s="8" t="inlineStr"/>
      <c r="M8" s="3" t="inlineStr"/>
    </row>
    <row r="9">
      <c r="A9" s="3" t="inlineStr">
        <is>
          <t>DOC-001</t>
        </is>
      </c>
      <c r="B9" s="4" t="n">
        <v>0</v>
      </c>
      <c r="C9" s="3" t="inlineStr">
        <is>
          <t>Documentação</t>
        </is>
      </c>
      <c r="D9" s="3" t="inlineStr">
        <is>
          <t>Documentar setup inicial</t>
        </is>
      </c>
      <c r="E9" s="3" t="inlineStr">
        <is>
          <t>README.md</t>
        </is>
      </c>
      <c r="F9" s="3" t="inlineStr">
        <is>
          <t>FE-001, BE-001</t>
        </is>
      </c>
      <c r="G9" s="4" t="inlineStr">
        <is>
          <t>Não iniciada</t>
        </is>
      </c>
      <c r="H9" s="3" t="inlineStr">
        <is>
          <t>README explica como subir frontend e backend</t>
        </is>
      </c>
      <c r="I9" s="3" t="inlineStr">
        <is>
          <t>Documentação</t>
        </is>
      </c>
      <c r="J9" s="7" t="inlineStr">
        <is>
          <t>Alta</t>
        </is>
      </c>
      <c r="K9" s="8" t="inlineStr"/>
      <c r="L9" s="8" t="inlineStr"/>
      <c r="M9" s="3" t="inlineStr"/>
    </row>
    <row r="10">
      <c r="A10" s="3" t="inlineStr">
        <is>
          <t>FE-004</t>
        </is>
      </c>
      <c r="B10" s="4" t="n">
        <v>1</v>
      </c>
      <c r="C10" s="3" t="inlineStr">
        <is>
          <t>Frontend</t>
        </is>
      </c>
      <c r="D10" s="3" t="inlineStr">
        <is>
          <t>Criar layout global da aplicação</t>
        </is>
      </c>
      <c r="E10" s="3" t="inlineStr">
        <is>
          <t>frontend/src/app/layout.tsx; PageContainer.tsx</t>
        </is>
      </c>
      <c r="F10" s="3" t="inlineStr">
        <is>
          <t>FE-001</t>
        </is>
      </c>
      <c r="G10" s="4" t="inlineStr">
        <is>
          <t>Não iniciada</t>
        </is>
      </c>
      <c r="H10" s="3" t="inlineStr">
        <is>
          <t>Layout global com regiões de sidebar, header e conteúdo</t>
        </is>
      </c>
      <c r="I10" s="3" t="inlineStr">
        <is>
          <t>Frontend</t>
        </is>
      </c>
      <c r="J10" s="7" t="inlineStr">
        <is>
          <t>Alta</t>
        </is>
      </c>
      <c r="K10" s="8" t="inlineStr"/>
      <c r="L10" s="8" t="inlineStr"/>
      <c r="M10" s="3" t="inlineStr"/>
    </row>
    <row r="11">
      <c r="A11" s="3" t="inlineStr">
        <is>
          <t>FE-005</t>
        </is>
      </c>
      <c r="B11" s="4" t="n">
        <v>1</v>
      </c>
      <c r="C11" s="3" t="inlineStr">
        <is>
          <t>Frontend</t>
        </is>
      </c>
      <c r="D11" s="3" t="inlineStr">
        <is>
          <t>Implementar Sidebar</t>
        </is>
      </c>
      <c r="E11" s="3" t="inlineStr">
        <is>
          <t>frontend/src/components/layout/Sidebar.tsx</t>
        </is>
      </c>
      <c r="F11" s="3" t="inlineStr">
        <is>
          <t>FE-004</t>
        </is>
      </c>
      <c r="G11" s="4" t="inlineStr">
        <is>
          <t>Não iniciada</t>
        </is>
      </c>
      <c r="H11" s="3" t="inlineStr">
        <is>
          <t>Sidebar funcional com navegação dos módulos</t>
        </is>
      </c>
      <c r="I11" s="3" t="inlineStr">
        <is>
          <t>Frontend</t>
        </is>
      </c>
      <c r="J11" s="7" t="inlineStr">
        <is>
          <t>Alta</t>
        </is>
      </c>
      <c r="K11" s="8" t="inlineStr"/>
      <c r="L11" s="8" t="inlineStr"/>
      <c r="M11" s="3" t="inlineStr"/>
    </row>
    <row r="12">
      <c r="A12" s="3" t="inlineStr">
        <is>
          <t>FE-006</t>
        </is>
      </c>
      <c r="B12" s="4" t="n">
        <v>1</v>
      </c>
      <c r="C12" s="3" t="inlineStr">
        <is>
          <t>Frontend</t>
        </is>
      </c>
      <c r="D12" s="3" t="inlineStr">
        <is>
          <t>Implementar Header</t>
        </is>
      </c>
      <c r="E12" s="3" t="inlineStr">
        <is>
          <t>frontend/src/components/layout/Header.tsx</t>
        </is>
      </c>
      <c r="F12" s="3" t="inlineStr">
        <is>
          <t>FE-004</t>
        </is>
      </c>
      <c r="G12" s="4" t="inlineStr">
        <is>
          <t>Não iniciada</t>
        </is>
      </c>
      <c r="H12" s="3" t="inlineStr">
        <is>
          <t>Header exibe nome da plataforma e título da página</t>
        </is>
      </c>
      <c r="I12" s="3" t="inlineStr">
        <is>
          <t>Frontend</t>
        </is>
      </c>
      <c r="J12" s="7" t="inlineStr">
        <is>
          <t>Alta</t>
        </is>
      </c>
      <c r="K12" s="8" t="inlineStr"/>
      <c r="L12" s="8" t="inlineStr"/>
      <c r="M12" s="3" t="inlineStr"/>
    </row>
    <row r="13">
      <c r="A13" s="3" t="inlineStr">
        <is>
          <t>FE-007</t>
        </is>
      </c>
      <c r="B13" s="4" t="n">
        <v>1</v>
      </c>
      <c r="C13" s="3" t="inlineStr">
        <is>
          <t>Frontend</t>
        </is>
      </c>
      <c r="D13" s="3" t="inlineStr">
        <is>
          <t>Criar rotas-base dos módulos</t>
        </is>
      </c>
      <c r="E13" s="3" t="inlineStr">
        <is>
          <t>frontend/src/app/*/page.tsx para todos os módulos</t>
        </is>
      </c>
      <c r="F13" s="3" t="inlineStr">
        <is>
          <t>FE-005</t>
        </is>
      </c>
      <c r="G13" s="4" t="inlineStr">
        <is>
          <t>Não iniciada</t>
        </is>
      </c>
      <c r="H13" s="3" t="inlineStr">
        <is>
          <t>Todas as páginas-base acessíveis via navegação</t>
        </is>
      </c>
      <c r="I13" s="3" t="inlineStr">
        <is>
          <t>Frontend</t>
        </is>
      </c>
      <c r="J13" s="7" t="inlineStr">
        <is>
          <t>Alta</t>
        </is>
      </c>
      <c r="K13" s="8" t="inlineStr"/>
      <c r="L13" s="8" t="inlineStr"/>
      <c r="M13" s="3" t="inlineStr"/>
    </row>
    <row r="14">
      <c r="A14" s="3" t="inlineStr">
        <is>
          <t>FE-008</t>
        </is>
      </c>
      <c r="B14" s="4" t="n">
        <v>1</v>
      </c>
      <c r="C14" s="3" t="inlineStr">
        <is>
          <t>Frontend</t>
        </is>
      </c>
      <c r="D14" s="3" t="inlineStr">
        <is>
          <t>Criar componentes de estado</t>
        </is>
      </c>
      <c r="E14" s="3" t="inlineStr">
        <is>
          <t>LoadingState.tsx; ErrorState.tsx; EmptyState.tsx</t>
        </is>
      </c>
      <c r="F14" s="3" t="inlineStr">
        <is>
          <t>FE-004</t>
        </is>
      </c>
      <c r="G14" s="4" t="inlineStr">
        <is>
          <t>Não iniciada</t>
        </is>
      </c>
      <c r="H14" s="3" t="inlineStr">
        <is>
          <t>Estados reutilizáveis implementados</t>
        </is>
      </c>
      <c r="I14" s="3" t="inlineStr">
        <is>
          <t>Frontend</t>
        </is>
      </c>
      <c r="J14" s="9" t="inlineStr">
        <is>
          <t>Média</t>
        </is>
      </c>
      <c r="K14" s="8" t="inlineStr"/>
      <c r="L14" s="8" t="inlineStr"/>
      <c r="M14" s="3" t="inlineStr"/>
    </row>
    <row r="15">
      <c r="A15" s="3" t="inlineStr">
        <is>
          <t>FE-009</t>
        </is>
      </c>
      <c r="B15" s="4" t="n">
        <v>1</v>
      </c>
      <c r="C15" s="3" t="inlineStr">
        <is>
          <t>Frontend</t>
        </is>
      </c>
      <c r="D15" s="3" t="inlineStr">
        <is>
          <t>Criar componentes-base reutilizáveis</t>
        </is>
      </c>
      <c r="E15" s="3" t="inlineStr">
        <is>
          <t>SummaryCard.tsx; AlertBanner.tsx; FormSection.tsx; EducationPanel.tsx</t>
        </is>
      </c>
      <c r="F15" s="3" t="inlineStr">
        <is>
          <t>FE-004</t>
        </is>
      </c>
      <c r="G15" s="4" t="inlineStr">
        <is>
          <t>Não iniciada</t>
        </is>
      </c>
      <c r="H15" s="3" t="inlineStr">
        <is>
          <t>Componentes-base disponíveis e reutilizáveis</t>
        </is>
      </c>
      <c r="I15" s="3" t="inlineStr">
        <is>
          <t>Frontend</t>
        </is>
      </c>
      <c r="J15" s="7" t="inlineStr">
        <is>
          <t>Alta</t>
        </is>
      </c>
      <c r="K15" s="8" t="inlineStr"/>
      <c r="L15" s="8" t="inlineStr"/>
      <c r="M15" s="3" t="inlineStr"/>
    </row>
    <row r="16">
      <c r="A16" s="3" t="inlineStr">
        <is>
          <t>BE-003</t>
        </is>
      </c>
      <c r="B16" s="4" t="n">
        <v>1</v>
      </c>
      <c r="C16" s="3" t="inlineStr">
        <is>
          <t>Backend</t>
        </is>
      </c>
      <c r="D16" s="3" t="inlineStr">
        <is>
          <t>Padronizar contrato-base de resposta</t>
        </is>
      </c>
      <c r="E16" s="3" t="inlineStr">
        <is>
          <t>response_models.py; exceptions.py</t>
        </is>
      </c>
      <c r="F16" s="3" t="inlineStr">
        <is>
          <t>BE-001</t>
        </is>
      </c>
      <c r="G16" s="4" t="inlineStr">
        <is>
          <t>Não iniciada</t>
        </is>
      </c>
      <c r="H16" s="3" t="inlineStr">
        <is>
          <t>Sucesso e erro seguem padrão único</t>
        </is>
      </c>
      <c r="I16" s="3" t="inlineStr">
        <is>
          <t>Backend</t>
        </is>
      </c>
      <c r="J16" s="7" t="inlineStr">
        <is>
          <t>Alta</t>
        </is>
      </c>
      <c r="K16" s="8" t="inlineStr"/>
      <c r="L16" s="8" t="inlineStr"/>
      <c r="M16" s="3" t="inlineStr"/>
    </row>
    <row r="17">
      <c r="A17" s="3" t="inlineStr">
        <is>
          <t>BE-004</t>
        </is>
      </c>
      <c r="B17" s="4" t="n">
        <v>1</v>
      </c>
      <c r="C17" s="3" t="inlineStr">
        <is>
          <t>Backend</t>
        </is>
      </c>
      <c r="D17" s="3" t="inlineStr">
        <is>
          <t>Padronizar tratamento inicial de erro</t>
        </is>
      </c>
      <c r="E17" s="3" t="inlineStr">
        <is>
          <t>exception_handlers.py</t>
        </is>
      </c>
      <c r="F17" s="3" t="inlineStr">
        <is>
          <t>BE-003</t>
        </is>
      </c>
      <c r="G17" s="4" t="inlineStr">
        <is>
          <t>Não iniciada</t>
        </is>
      </c>
      <c r="H17" s="3" t="inlineStr">
        <is>
          <t>Validação e erro interno retornam contrato padronizado</t>
        </is>
      </c>
      <c r="I17" s="3" t="inlineStr">
        <is>
          <t>Backend</t>
        </is>
      </c>
      <c r="J17" s="7" t="inlineStr">
        <is>
          <t>Alta</t>
        </is>
      </c>
      <c r="K17" s="8" t="inlineStr"/>
      <c r="L17" s="8" t="inlineStr"/>
      <c r="M17" s="3" t="inlineStr"/>
    </row>
    <row r="18">
      <c r="A18" s="3" t="inlineStr">
        <is>
          <t>QA-002</t>
        </is>
      </c>
      <c r="B18" s="4" t="n">
        <v>1</v>
      </c>
      <c r="C18" s="3" t="inlineStr">
        <is>
          <t>Testes</t>
        </is>
      </c>
      <c r="D18" s="3" t="inlineStr">
        <is>
          <t>Testar contrato-base do backend</t>
        </is>
      </c>
      <c r="E18" s="3" t="inlineStr">
        <is>
          <t>backend/tests/test_response_contract.py</t>
        </is>
      </c>
      <c r="F18" s="3" t="inlineStr">
        <is>
          <t>BE-003, BE-004</t>
        </is>
      </c>
      <c r="G18" s="4" t="inlineStr">
        <is>
          <t>Não iniciada</t>
        </is>
      </c>
      <c r="H18" s="3" t="inlineStr">
        <is>
          <t>Contrato-base de sucesso e erro protegido por testes</t>
        </is>
      </c>
      <c r="I18" s="3" t="inlineStr">
        <is>
          <t>QA / Backend</t>
        </is>
      </c>
      <c r="J18" s="7" t="inlineStr">
        <is>
          <t>Alta</t>
        </is>
      </c>
      <c r="K18" s="8" t="inlineStr"/>
      <c r="L18" s="8" t="inlineStr"/>
      <c r="M18" s="3" t="inlineStr"/>
    </row>
    <row r="19">
      <c r="A19" s="3" t="inlineStr">
        <is>
          <t>DOC-002</t>
        </is>
      </c>
      <c r="B19" s="4" t="n">
        <v>1</v>
      </c>
      <c r="C19" s="3" t="inlineStr">
        <is>
          <t>Documentação</t>
        </is>
      </c>
      <c r="D19" s="3" t="inlineStr">
        <is>
          <t>Atualizar documentação da arquitetura inicial</t>
        </is>
      </c>
      <c r="E19" s="3" t="inlineStr">
        <is>
          <t>docs/architecture.md; README.md</t>
        </is>
      </c>
      <c r="F19" s="3" t="inlineStr">
        <is>
          <t>FE-007, BE-003</t>
        </is>
      </c>
      <c r="G19" s="4" t="inlineStr">
        <is>
          <t>Não iniciada</t>
        </is>
      </c>
      <c r="H19" s="3" t="inlineStr">
        <is>
          <t>Arquitetura inicial e padrão de resposta documentados</t>
        </is>
      </c>
      <c r="I19" s="3" t="inlineStr">
        <is>
          <t>Documentação</t>
        </is>
      </c>
      <c r="J19" s="9" t="inlineStr">
        <is>
          <t>Média</t>
        </is>
      </c>
      <c r="K19" s="8" t="inlineStr"/>
      <c r="L19" s="8" t="inlineStr"/>
      <c r="M19" s="3" t="inlineStr"/>
    </row>
    <row r="20">
      <c r="A20" s="3" t="inlineStr">
        <is>
          <t>BE-005</t>
        </is>
      </c>
      <c r="B20" s="4" t="n">
        <v>2</v>
      </c>
      <c r="C20" s="3" t="inlineStr">
        <is>
          <t>Backend</t>
        </is>
      </c>
      <c r="D20" s="3" t="inlineStr">
        <is>
          <t>Criar schemas do módulo de juros</t>
        </is>
      </c>
      <c r="E20" s="3" t="inlineStr">
        <is>
          <t>backend/app/schemas/interest.py</t>
        </is>
      </c>
      <c r="F20" s="3" t="inlineStr">
        <is>
          <t>BE-003</t>
        </is>
      </c>
      <c r="G20" s="4" t="inlineStr">
        <is>
          <t>Não iniciada</t>
        </is>
      </c>
      <c r="H20" s="3" t="inlineStr">
        <is>
          <t>Payload de entrada e saída formalizados</t>
        </is>
      </c>
      <c r="I20" s="3" t="inlineStr">
        <is>
          <t>Backend</t>
        </is>
      </c>
      <c r="J20" s="7" t="inlineStr">
        <is>
          <t>Alta</t>
        </is>
      </c>
      <c r="K20" s="8" t="inlineStr"/>
      <c r="L20" s="8" t="inlineStr"/>
      <c r="M20" s="3" t="inlineStr"/>
    </row>
    <row r="21">
      <c r="A21" s="3" t="inlineStr">
        <is>
          <t>BE-006</t>
        </is>
      </c>
      <c r="B21" s="4" t="n">
        <v>2</v>
      </c>
      <c r="C21" s="3" t="inlineStr">
        <is>
          <t>Backend</t>
        </is>
      </c>
      <c r="D21" s="3" t="inlineStr">
        <is>
          <t>Implementar domínio de juros simples</t>
        </is>
      </c>
      <c r="E21" s="3" t="inlineStr">
        <is>
          <t>backend/app/domain/interest/simple_interest.py</t>
        </is>
      </c>
      <c r="F21" s="3" t="inlineStr">
        <is>
          <t>BE-005</t>
        </is>
      </c>
      <c r="G21" s="4" t="inlineStr">
        <is>
          <t>Não iniciada</t>
        </is>
      </c>
      <c r="H21" s="3" t="inlineStr">
        <is>
          <t>Função pura calcula montante e tabela temporal corretamente</t>
        </is>
      </c>
      <c r="I21" s="3" t="inlineStr">
        <is>
          <t>Backend</t>
        </is>
      </c>
      <c r="J21" s="7" t="inlineStr">
        <is>
          <t>Alta</t>
        </is>
      </c>
      <c r="K21" s="8" t="inlineStr"/>
      <c r="L21" s="8" t="inlineStr"/>
      <c r="M21" s="3" t="inlineStr"/>
    </row>
    <row r="22">
      <c r="A22" s="3" t="inlineStr">
        <is>
          <t>BE-007</t>
        </is>
      </c>
      <c r="B22" s="4" t="n">
        <v>2</v>
      </c>
      <c r="C22" s="3" t="inlineStr">
        <is>
          <t>Backend</t>
        </is>
      </c>
      <c r="D22" s="3" t="inlineStr">
        <is>
          <t>Implementar domínio de juros compostos</t>
        </is>
      </c>
      <c r="E22" s="3" t="inlineStr">
        <is>
          <t>backend/app/domain/interest/compound_interest.py</t>
        </is>
      </c>
      <c r="F22" s="3" t="inlineStr">
        <is>
          <t>BE-005</t>
        </is>
      </c>
      <c r="G22" s="4" t="inlineStr">
        <is>
          <t>Não iniciada</t>
        </is>
      </c>
      <c r="H22" s="3" t="inlineStr">
        <is>
          <t>Função pura calcula capitalização e tabela temporal corretamente</t>
        </is>
      </c>
      <c r="I22" s="3" t="inlineStr">
        <is>
          <t>Backend</t>
        </is>
      </c>
      <c r="J22" s="7" t="inlineStr">
        <is>
          <t>Alta</t>
        </is>
      </c>
      <c r="K22" s="8" t="inlineStr"/>
      <c r="L22" s="8" t="inlineStr"/>
      <c r="M22" s="3" t="inlineStr"/>
    </row>
    <row r="23">
      <c r="A23" s="3" t="inlineStr">
        <is>
          <t>BE-008</t>
        </is>
      </c>
      <c r="B23" s="4" t="n">
        <v>2</v>
      </c>
      <c r="C23" s="3" t="inlineStr">
        <is>
          <t>Backend</t>
        </is>
      </c>
      <c r="D23" s="3" t="inlineStr">
        <is>
          <t>Implementar serviço comparativo de juros</t>
        </is>
      </c>
      <c r="E23" s="3" t="inlineStr">
        <is>
          <t>backend/app/services/interest_service.py</t>
        </is>
      </c>
      <c r="F23" s="3" t="inlineStr">
        <is>
          <t>BE-006, BE-007</t>
        </is>
      </c>
      <c r="G23" s="4" t="inlineStr">
        <is>
          <t>Não iniciada</t>
        </is>
      </c>
      <c r="H23" s="3" t="inlineStr">
        <is>
          <t>Serviço monta summary, tables, charts, interpretation, alerts</t>
        </is>
      </c>
      <c r="I23" s="3" t="inlineStr">
        <is>
          <t>Backend</t>
        </is>
      </c>
      <c r="J23" s="7" t="inlineStr">
        <is>
          <t>Alta</t>
        </is>
      </c>
      <c r="K23" s="8" t="inlineStr"/>
      <c r="L23" s="8" t="inlineStr"/>
      <c r="M23" s="3" t="inlineStr"/>
    </row>
    <row r="24">
      <c r="A24" s="3" t="inlineStr">
        <is>
          <t>BE-009</t>
        </is>
      </c>
      <c r="B24" s="4" t="n">
        <v>2</v>
      </c>
      <c r="C24" s="3" t="inlineStr">
        <is>
          <t>Backend</t>
        </is>
      </c>
      <c r="D24" s="3" t="inlineStr">
        <is>
          <t>Criar endpoint do módulo de juros</t>
        </is>
      </c>
      <c r="E24" s="3" t="inlineStr">
        <is>
          <t>backend/app/api/routes/interest.py</t>
        </is>
      </c>
      <c r="F24" s="3" t="inlineStr">
        <is>
          <t>BE-008</t>
        </is>
      </c>
      <c r="G24" s="4" t="inlineStr">
        <is>
          <t>Não iniciada</t>
        </is>
      </c>
      <c r="H24" s="3" t="inlineStr">
        <is>
          <t>POST /api/v1/interest/simple-compound funcional</t>
        </is>
      </c>
      <c r="I24" s="3" t="inlineStr">
        <is>
          <t>Backend</t>
        </is>
      </c>
      <c r="J24" s="7" t="inlineStr">
        <is>
          <t>Alta</t>
        </is>
      </c>
      <c r="K24" s="8" t="inlineStr"/>
      <c r="L24" s="8" t="inlineStr"/>
      <c r="M24" s="3" t="inlineStr"/>
    </row>
    <row r="25">
      <c r="A25" s="3" t="inlineStr">
        <is>
          <t>FE-010</t>
        </is>
      </c>
      <c r="B25" s="4" t="n">
        <v>2</v>
      </c>
      <c r="C25" s="3" t="inlineStr">
        <is>
          <t>Frontend</t>
        </is>
      </c>
      <c r="D25" s="3" t="inlineStr">
        <is>
          <t>Criar página funcional do módulo de juros</t>
        </is>
      </c>
      <c r="E25" s="3" t="inlineStr">
        <is>
          <t>frontend/src/app/juros/page.tsx</t>
        </is>
      </c>
      <c r="F25" s="3" t="inlineStr">
        <is>
          <t>FE-007</t>
        </is>
      </c>
      <c r="G25" s="4" t="inlineStr">
        <is>
          <t>Não iniciada</t>
        </is>
      </c>
      <c r="H25" s="3" t="inlineStr">
        <is>
          <t>Página do módulo estruturada e pronta para integração</t>
        </is>
      </c>
      <c r="I25" s="3" t="inlineStr">
        <is>
          <t>Frontend</t>
        </is>
      </c>
      <c r="J25" s="7" t="inlineStr">
        <is>
          <t>Alta</t>
        </is>
      </c>
      <c r="K25" s="8" t="inlineStr"/>
      <c r="L25" s="8" t="inlineStr"/>
      <c r="M25" s="3" t="inlineStr"/>
    </row>
    <row r="26">
      <c r="A26" s="3" t="inlineStr">
        <is>
          <t>FE-011</t>
        </is>
      </c>
      <c r="B26" s="4" t="n">
        <v>2</v>
      </c>
      <c r="C26" s="3" t="inlineStr">
        <is>
          <t>Frontend</t>
        </is>
      </c>
      <c r="D26" s="3" t="inlineStr">
        <is>
          <t>Criar formulário do módulo de juros</t>
        </is>
      </c>
      <c r="E26" s="3" t="inlineStr">
        <is>
          <t>InterestForm.tsx</t>
        </is>
      </c>
      <c r="F26" s="3" t="inlineStr">
        <is>
          <t>FE-010</t>
        </is>
      </c>
      <c r="G26" s="4" t="inlineStr">
        <is>
          <t>Não iniciada</t>
        </is>
      </c>
      <c r="H26" s="3" t="inlineStr">
        <is>
          <t>Formulário envia dados válidos para a API</t>
        </is>
      </c>
      <c r="I26" s="3" t="inlineStr">
        <is>
          <t>Frontend</t>
        </is>
      </c>
      <c r="J26" s="7" t="inlineStr">
        <is>
          <t>Alta</t>
        </is>
      </c>
      <c r="K26" s="8" t="inlineStr"/>
      <c r="L26" s="8" t="inlineStr"/>
      <c r="M26" s="3" t="inlineStr"/>
    </row>
    <row r="27">
      <c r="A27" s="3" t="inlineStr">
        <is>
          <t>FE-012</t>
        </is>
      </c>
      <c r="B27" s="4" t="n">
        <v>2</v>
      </c>
      <c r="C27" s="3" t="inlineStr">
        <is>
          <t>Frontend</t>
        </is>
      </c>
      <c r="D27" s="3" t="inlineStr">
        <is>
          <t>Criar visualização do resultado de juros</t>
        </is>
      </c>
      <c r="E27" s="3" t="inlineStr">
        <is>
          <t>InterestSummaryCards.tsx; InterestEvolutionTable.tsx; InterestComparisonChart.tsx</t>
        </is>
      </c>
      <c r="F27" s="3" t="inlineStr">
        <is>
          <t>FE-011, BE-009</t>
        </is>
      </c>
      <c r="G27" s="4" t="inlineStr">
        <is>
          <t>Não iniciada</t>
        </is>
      </c>
      <c r="H27" s="3" t="inlineStr">
        <is>
          <t>Cards, tabela, gráfico, alertas e interpretação renderizados</t>
        </is>
      </c>
      <c r="I27" s="3" t="inlineStr">
        <is>
          <t>Frontend</t>
        </is>
      </c>
      <c r="J27" s="7" t="inlineStr">
        <is>
          <t>Alta</t>
        </is>
      </c>
      <c r="K27" s="8" t="inlineStr"/>
      <c r="L27" s="8" t="inlineStr"/>
      <c r="M27" s="3" t="inlineStr"/>
    </row>
    <row r="28">
      <c r="A28" s="3" t="inlineStr">
        <is>
          <t>QA-003</t>
        </is>
      </c>
      <c r="B28" s="4" t="n">
        <v>2</v>
      </c>
      <c r="C28" s="3" t="inlineStr">
        <is>
          <t>Testes</t>
        </is>
      </c>
      <c r="D28" s="3" t="inlineStr">
        <is>
          <t>Testes unitários do domínio de juros</t>
        </is>
      </c>
      <c r="E28" s="3" t="inlineStr">
        <is>
          <t>test_simple_interest.py; test_compound_interest.py</t>
        </is>
      </c>
      <c r="F28" s="3" t="inlineStr">
        <is>
          <t>BE-006, BE-007</t>
        </is>
      </c>
      <c r="G28" s="4" t="inlineStr">
        <is>
          <t>Não iniciada</t>
        </is>
      </c>
      <c r="H28" s="3" t="inlineStr">
        <is>
          <t>Fórmulas protegidas por testes de domínio</t>
        </is>
      </c>
      <c r="I28" s="3" t="inlineStr">
        <is>
          <t>QA / Backend</t>
        </is>
      </c>
      <c r="J28" s="7" t="inlineStr">
        <is>
          <t>Alta</t>
        </is>
      </c>
      <c r="K28" s="8" t="inlineStr"/>
      <c r="L28" s="8" t="inlineStr"/>
      <c r="M28" s="3" t="inlineStr"/>
    </row>
    <row r="29">
      <c r="A29" s="3" t="inlineStr">
        <is>
          <t>QA-004</t>
        </is>
      </c>
      <c r="B29" s="4" t="n">
        <v>2</v>
      </c>
      <c r="C29" s="3" t="inlineStr">
        <is>
          <t>Testes</t>
        </is>
      </c>
      <c r="D29" s="3" t="inlineStr">
        <is>
          <t>Teste de integração da rota de juros</t>
        </is>
      </c>
      <c r="E29" s="3" t="inlineStr">
        <is>
          <t>backend/tests/api/test_interest_route.py</t>
        </is>
      </c>
      <c r="F29" s="3" t="inlineStr">
        <is>
          <t>BE-009</t>
        </is>
      </c>
      <c r="G29" s="4" t="inlineStr">
        <is>
          <t>Não iniciada</t>
        </is>
      </c>
      <c r="H29" s="3" t="inlineStr">
        <is>
          <t>Rota validada com contrato e estrutura corretos</t>
        </is>
      </c>
      <c r="I29" s="3" t="inlineStr">
        <is>
          <t>QA / Backend</t>
        </is>
      </c>
      <c r="J29" s="7" t="inlineStr">
        <is>
          <t>Alta</t>
        </is>
      </c>
      <c r="K29" s="8" t="inlineStr"/>
      <c r="L29" s="8" t="inlineStr"/>
      <c r="M29" s="3" t="inlineStr"/>
    </row>
    <row r="30">
      <c r="A30" s="3" t="inlineStr">
        <is>
          <t>QA-005</t>
        </is>
      </c>
      <c r="B30" s="4" t="n">
        <v>2</v>
      </c>
      <c r="C30" s="3" t="inlineStr">
        <is>
          <t>Testes</t>
        </is>
      </c>
      <c r="D30" s="3" t="inlineStr">
        <is>
          <t>Testes básicos do frontend do módulo de juros</t>
        </is>
      </c>
      <c r="E30" s="3" t="inlineStr">
        <is>
          <t>juros/page.test.tsx; InterestForm.test.tsx</t>
        </is>
      </c>
      <c r="F30" s="3" t="inlineStr">
        <is>
          <t>FE-012</t>
        </is>
      </c>
      <c r="G30" s="4" t="inlineStr">
        <is>
          <t>Não iniciada</t>
        </is>
      </c>
      <c r="H30" s="3" t="inlineStr">
        <is>
          <t>Formulário e exibição de resultado cobertos</t>
        </is>
      </c>
      <c r="I30" s="3" t="inlineStr">
        <is>
          <t>QA / Frontend</t>
        </is>
      </c>
      <c r="J30" s="9" t="inlineStr">
        <is>
          <t>Média</t>
        </is>
      </c>
      <c r="K30" s="8" t="inlineStr"/>
      <c r="L30" s="8" t="inlineStr"/>
      <c r="M30" s="3" t="inlineStr"/>
    </row>
    <row r="31">
      <c r="A31" s="3" t="inlineStr">
        <is>
          <t>DOC-003</t>
        </is>
      </c>
      <c r="B31" s="4" t="n">
        <v>2</v>
      </c>
      <c r="C31" s="3" t="inlineStr">
        <is>
          <t>Documentação</t>
        </is>
      </c>
      <c r="D31" s="3" t="inlineStr">
        <is>
          <t>Documentar módulo de juros</t>
        </is>
      </c>
      <c r="E31" s="3" t="inlineStr">
        <is>
          <t>docs/api-contract.md; docs/formulas.md; docs/user-guide.md</t>
        </is>
      </c>
      <c r="F31" s="3" t="inlineStr">
        <is>
          <t>BE-009, FE-012</t>
        </is>
      </c>
      <c r="G31" s="4" t="inlineStr">
        <is>
          <t>Não iniciada</t>
        </is>
      </c>
      <c r="H31" s="3" t="inlineStr">
        <is>
          <t>Endpoint, fórmula e uso documentados</t>
        </is>
      </c>
      <c r="I31" s="3" t="inlineStr">
        <is>
          <t>Documentação</t>
        </is>
      </c>
      <c r="J31" s="9" t="inlineStr">
        <is>
          <t>Média</t>
        </is>
      </c>
      <c r="K31" s="8" t="inlineStr"/>
      <c r="L31" s="8" t="inlineStr"/>
      <c r="M31" s="3" t="inlineStr"/>
    </row>
    <row r="32">
      <c r="A32" s="3" t="inlineStr">
        <is>
          <t>BE-010</t>
        </is>
      </c>
      <c r="B32" s="4" t="n">
        <v>3</v>
      </c>
      <c r="C32" s="3" t="inlineStr">
        <is>
          <t>Backend</t>
        </is>
      </c>
      <c r="D32" s="3" t="inlineStr">
        <is>
          <t>Criar schemas do módulo de amortização</t>
        </is>
      </c>
      <c r="E32" s="3" t="inlineStr">
        <is>
          <t>backend/app/schemas/amortization.py</t>
        </is>
      </c>
      <c r="F32" s="3" t="inlineStr">
        <is>
          <t>BE-003</t>
        </is>
      </c>
      <c r="G32" s="4" t="inlineStr">
        <is>
          <t>Não iniciada</t>
        </is>
      </c>
      <c r="H32" s="3" t="inlineStr">
        <is>
          <t>Contratos de entrada e saída definidos</t>
        </is>
      </c>
      <c r="I32" s="3" t="inlineStr">
        <is>
          <t>Backend</t>
        </is>
      </c>
      <c r="J32" s="7" t="inlineStr">
        <is>
          <t>Alta</t>
        </is>
      </c>
      <c r="K32" s="8" t="inlineStr"/>
      <c r="L32" s="8" t="inlineStr"/>
      <c r="M32" s="3" t="inlineStr"/>
    </row>
    <row r="33">
      <c r="A33" s="3" t="inlineStr">
        <is>
          <t>BE-011</t>
        </is>
      </c>
      <c r="B33" s="4" t="n">
        <v>3</v>
      </c>
      <c r="C33" s="3" t="inlineStr">
        <is>
          <t>Backend</t>
        </is>
      </c>
      <c r="D33" s="3" t="inlineStr">
        <is>
          <t>Implementar domínio Price</t>
        </is>
      </c>
      <c r="E33" s="3" t="inlineStr">
        <is>
          <t>backend/app/domain/amortization/price.py</t>
        </is>
      </c>
      <c r="F33" s="3" t="inlineStr">
        <is>
          <t>BE-010</t>
        </is>
      </c>
      <c r="G33" s="4" t="inlineStr">
        <is>
          <t>Não iniciada</t>
        </is>
      </c>
      <c r="H33" s="3" t="inlineStr">
        <is>
          <t>Cálculo Price correto por período</t>
        </is>
      </c>
      <c r="I33" s="3" t="inlineStr">
        <is>
          <t>Backend</t>
        </is>
      </c>
      <c r="J33" s="7" t="inlineStr">
        <is>
          <t>Alta</t>
        </is>
      </c>
      <c r="K33" s="8" t="inlineStr"/>
      <c r="L33" s="8" t="inlineStr"/>
      <c r="M33" s="3" t="inlineStr"/>
    </row>
    <row r="34">
      <c r="A34" s="3" t="inlineStr">
        <is>
          <t>BE-012</t>
        </is>
      </c>
      <c r="B34" s="4" t="n">
        <v>3</v>
      </c>
      <c r="C34" s="3" t="inlineStr">
        <is>
          <t>Backend</t>
        </is>
      </c>
      <c r="D34" s="3" t="inlineStr">
        <is>
          <t>Implementar domínio SAC</t>
        </is>
      </c>
      <c r="E34" s="3" t="inlineStr">
        <is>
          <t>backend/app/domain/amortization/sac.py</t>
        </is>
      </c>
      <c r="F34" s="3" t="inlineStr">
        <is>
          <t>BE-010</t>
        </is>
      </c>
      <c r="G34" s="4" t="inlineStr">
        <is>
          <t>Não iniciada</t>
        </is>
      </c>
      <c r="H34" s="3" t="inlineStr">
        <is>
          <t>Cálculo SAC correto por período</t>
        </is>
      </c>
      <c r="I34" s="3" t="inlineStr">
        <is>
          <t>Backend</t>
        </is>
      </c>
      <c r="J34" s="7" t="inlineStr">
        <is>
          <t>Alta</t>
        </is>
      </c>
      <c r="K34" s="8" t="inlineStr"/>
      <c r="L34" s="8" t="inlineStr"/>
      <c r="M34" s="3" t="inlineStr"/>
    </row>
    <row r="35">
      <c r="A35" s="3" t="inlineStr">
        <is>
          <t>BE-013</t>
        </is>
      </c>
      <c r="B35" s="4" t="n">
        <v>3</v>
      </c>
      <c r="C35" s="3" t="inlineStr">
        <is>
          <t>Backend</t>
        </is>
      </c>
      <c r="D35" s="3" t="inlineStr">
        <is>
          <t>Implementar serviço comparativo Price/SAC</t>
        </is>
      </c>
      <c r="E35" s="3" t="inlineStr">
        <is>
          <t>backend/app/services/amortization_service.py</t>
        </is>
      </c>
      <c r="F35" s="3" t="inlineStr">
        <is>
          <t>BE-011, BE-012</t>
        </is>
      </c>
      <c r="G35" s="4" t="inlineStr">
        <is>
          <t>Não iniciada</t>
        </is>
      </c>
      <c r="H35" s="3" t="inlineStr">
        <is>
          <t>Serviço compara sistemas e estrutura resposta completa</t>
        </is>
      </c>
      <c r="I35" s="3" t="inlineStr">
        <is>
          <t>Backend</t>
        </is>
      </c>
      <c r="J35" s="7" t="inlineStr">
        <is>
          <t>Alta</t>
        </is>
      </c>
      <c r="K35" s="8" t="inlineStr"/>
      <c r="L35" s="8" t="inlineStr"/>
      <c r="M35" s="3" t="inlineStr"/>
    </row>
    <row r="36">
      <c r="A36" s="3" t="inlineStr">
        <is>
          <t>BE-014</t>
        </is>
      </c>
      <c r="B36" s="4" t="n">
        <v>3</v>
      </c>
      <c r="C36" s="3" t="inlineStr">
        <is>
          <t>Backend</t>
        </is>
      </c>
      <c r="D36" s="3" t="inlineStr">
        <is>
          <t>Criar endpoint Price/SAC</t>
        </is>
      </c>
      <c r="E36" s="3" t="inlineStr">
        <is>
          <t>backend/app/api/routes/amortization.py</t>
        </is>
      </c>
      <c r="F36" s="3" t="inlineStr">
        <is>
          <t>BE-013</t>
        </is>
      </c>
      <c r="G36" s="4" t="inlineStr">
        <is>
          <t>Não iniciada</t>
        </is>
      </c>
      <c r="H36" s="3" t="inlineStr">
        <is>
          <t>POST /api/v1/amortization/price-sac funcional</t>
        </is>
      </c>
      <c r="I36" s="3" t="inlineStr">
        <is>
          <t>Backend</t>
        </is>
      </c>
      <c r="J36" s="7" t="inlineStr">
        <is>
          <t>Alta</t>
        </is>
      </c>
      <c r="K36" s="8" t="inlineStr"/>
      <c r="L36" s="8" t="inlineStr"/>
      <c r="M36" s="3" t="inlineStr"/>
    </row>
    <row r="37">
      <c r="A37" s="3" t="inlineStr">
        <is>
          <t>FE-013</t>
        </is>
      </c>
      <c r="B37" s="4" t="n">
        <v>3</v>
      </c>
      <c r="C37" s="3" t="inlineStr">
        <is>
          <t>Frontend</t>
        </is>
      </c>
      <c r="D37" s="3" t="inlineStr">
        <is>
          <t>Criar página funcional de amortização</t>
        </is>
      </c>
      <c r="E37" s="3" t="inlineStr">
        <is>
          <t>frontend/src/app/amortizacao/page.tsx</t>
        </is>
      </c>
      <c r="F37" s="3" t="inlineStr">
        <is>
          <t>FE-007</t>
        </is>
      </c>
      <c r="G37" s="4" t="inlineStr">
        <is>
          <t>Não iniciada</t>
        </is>
      </c>
      <c r="H37" s="3" t="inlineStr">
        <is>
          <t>Página estruturada</t>
        </is>
      </c>
      <c r="I37" s="3" t="inlineStr">
        <is>
          <t>Frontend</t>
        </is>
      </c>
      <c r="J37" s="7" t="inlineStr">
        <is>
          <t>Alta</t>
        </is>
      </c>
      <c r="K37" s="8" t="inlineStr"/>
      <c r="L37" s="8" t="inlineStr"/>
      <c r="M37" s="3" t="inlineStr"/>
    </row>
    <row r="38">
      <c r="A38" s="3" t="inlineStr">
        <is>
          <t>FE-014</t>
        </is>
      </c>
      <c r="B38" s="4" t="n">
        <v>3</v>
      </c>
      <c r="C38" s="3" t="inlineStr">
        <is>
          <t>Frontend</t>
        </is>
      </c>
      <c r="D38" s="3" t="inlineStr">
        <is>
          <t>Criar formulário de amortização</t>
        </is>
      </c>
      <c r="E38" s="3" t="inlineStr">
        <is>
          <t>AmortizationForm.tsx</t>
        </is>
      </c>
      <c r="F38" s="3" t="inlineStr">
        <is>
          <t>FE-013</t>
        </is>
      </c>
      <c r="G38" s="4" t="inlineStr">
        <is>
          <t>Não iniciada</t>
        </is>
      </c>
      <c r="H38" s="3" t="inlineStr">
        <is>
          <t>Formulário envia valor, taxa e prazo corretamente</t>
        </is>
      </c>
      <c r="I38" s="3" t="inlineStr">
        <is>
          <t>Frontend</t>
        </is>
      </c>
      <c r="J38" s="7" t="inlineStr">
        <is>
          <t>Alta</t>
        </is>
      </c>
      <c r="K38" s="8" t="inlineStr"/>
      <c r="L38" s="8" t="inlineStr"/>
      <c r="M38" s="3" t="inlineStr"/>
    </row>
    <row r="39">
      <c r="A39" s="3" t="inlineStr">
        <is>
          <t>FE-015</t>
        </is>
      </c>
      <c r="B39" s="4" t="n">
        <v>3</v>
      </c>
      <c r="C39" s="3" t="inlineStr">
        <is>
          <t>Frontend</t>
        </is>
      </c>
      <c r="D39" s="3" t="inlineStr">
        <is>
          <t>Criar visualização de amortização</t>
        </is>
      </c>
      <c r="E39" s="3" t="inlineStr">
        <is>
          <t>AmortizationSummaryCards.tsx; AmortizationTable.tsx; AmortizationBalanceChart.tsx</t>
        </is>
      </c>
      <c r="F39" s="3" t="inlineStr">
        <is>
          <t>FE-014, BE-014</t>
        </is>
      </c>
      <c r="G39" s="4" t="inlineStr">
        <is>
          <t>Não iniciada</t>
        </is>
      </c>
      <c r="H39" s="3" t="inlineStr">
        <is>
          <t>Comparação, tabela, gráfico e interpretação visíveis</t>
        </is>
      </c>
      <c r="I39" s="3" t="inlineStr">
        <is>
          <t>Frontend</t>
        </is>
      </c>
      <c r="J39" s="7" t="inlineStr">
        <is>
          <t>Alta</t>
        </is>
      </c>
      <c r="K39" s="8" t="inlineStr"/>
      <c r="L39" s="8" t="inlineStr"/>
      <c r="M39" s="3" t="inlineStr"/>
    </row>
    <row r="40">
      <c r="A40" s="3" t="inlineStr">
        <is>
          <t>QA-006</t>
        </is>
      </c>
      <c r="B40" s="4" t="n">
        <v>3</v>
      </c>
      <c r="C40" s="3" t="inlineStr">
        <is>
          <t>Testes</t>
        </is>
      </c>
      <c r="D40" s="3" t="inlineStr">
        <is>
          <t>Testes unitários Price e SAC</t>
        </is>
      </c>
      <c r="E40" s="3" t="inlineStr">
        <is>
          <t>test_price.py; test_sac.py</t>
        </is>
      </c>
      <c r="F40" s="3" t="inlineStr">
        <is>
          <t>BE-011, BE-012</t>
        </is>
      </c>
      <c r="G40" s="4" t="inlineStr">
        <is>
          <t>Não iniciada</t>
        </is>
      </c>
      <c r="H40" s="3" t="inlineStr">
        <is>
          <t>Fórmulas e tabelas protegidas</t>
        </is>
      </c>
      <c r="I40" s="3" t="inlineStr">
        <is>
          <t>QA / Backend</t>
        </is>
      </c>
      <c r="J40" s="7" t="inlineStr">
        <is>
          <t>Alta</t>
        </is>
      </c>
      <c r="K40" s="8" t="inlineStr"/>
      <c r="L40" s="8" t="inlineStr"/>
      <c r="M40" s="3" t="inlineStr"/>
    </row>
    <row r="41">
      <c r="A41" s="3" t="inlineStr">
        <is>
          <t>QA-007</t>
        </is>
      </c>
      <c r="B41" s="4" t="n">
        <v>3</v>
      </c>
      <c r="C41" s="3" t="inlineStr">
        <is>
          <t>Testes</t>
        </is>
      </c>
      <c r="D41" s="3" t="inlineStr">
        <is>
          <t>Teste de integração da rota de amortização</t>
        </is>
      </c>
      <c r="E41" s="3" t="inlineStr">
        <is>
          <t>backend/tests/api/test_amortization_route.py</t>
        </is>
      </c>
      <c r="F41" s="3" t="inlineStr">
        <is>
          <t>BE-014</t>
        </is>
      </c>
      <c r="G41" s="4" t="inlineStr">
        <is>
          <t>Não iniciada</t>
        </is>
      </c>
      <c r="H41" s="3" t="inlineStr">
        <is>
          <t>Contrato e estrutura da rota validados</t>
        </is>
      </c>
      <c r="I41" s="3" t="inlineStr">
        <is>
          <t>QA / Backend</t>
        </is>
      </c>
      <c r="J41" s="7" t="inlineStr">
        <is>
          <t>Alta</t>
        </is>
      </c>
      <c r="K41" s="8" t="inlineStr"/>
      <c r="L41" s="8" t="inlineStr"/>
      <c r="M41" s="3" t="inlineStr"/>
    </row>
    <row r="42">
      <c r="A42" s="3" t="inlineStr">
        <is>
          <t>QA-008</t>
        </is>
      </c>
      <c r="B42" s="4" t="n">
        <v>3</v>
      </c>
      <c r="C42" s="3" t="inlineStr">
        <is>
          <t>Testes</t>
        </is>
      </c>
      <c r="D42" s="3" t="inlineStr">
        <is>
          <t>Testes básicos do frontend de amortização</t>
        </is>
      </c>
      <c r="E42" s="3" t="inlineStr">
        <is>
          <t>frontend/src/app/amortizacao/page.test.tsx</t>
        </is>
      </c>
      <c r="F42" s="3" t="inlineStr">
        <is>
          <t>FE-015</t>
        </is>
      </c>
      <c r="G42" s="4" t="inlineStr">
        <is>
          <t>Não iniciada</t>
        </is>
      </c>
      <c r="H42" s="3" t="inlineStr">
        <is>
          <t>Renderização e submissão do módulo cobertas</t>
        </is>
      </c>
      <c r="I42" s="3" t="inlineStr">
        <is>
          <t>QA / Frontend</t>
        </is>
      </c>
      <c r="J42" s="9" t="inlineStr">
        <is>
          <t>Média</t>
        </is>
      </c>
      <c r="K42" s="8" t="inlineStr"/>
      <c r="L42" s="8" t="inlineStr"/>
      <c r="M42" s="3" t="inlineStr"/>
    </row>
    <row r="43">
      <c r="A43" s="3" t="inlineStr">
        <is>
          <t>DOC-004</t>
        </is>
      </c>
      <c r="B43" s="4" t="n">
        <v>3</v>
      </c>
      <c r="C43" s="3" t="inlineStr">
        <is>
          <t>Documentação</t>
        </is>
      </c>
      <c r="D43" s="3" t="inlineStr">
        <is>
          <t>Documentar amortização</t>
        </is>
      </c>
      <c r="E43" s="3" t="inlineStr">
        <is>
          <t>docs/formulas.md; docs/api-contract.md; docs/user-guide.md</t>
        </is>
      </c>
      <c r="F43" s="3" t="inlineStr">
        <is>
          <t>BE-014, FE-015</t>
        </is>
      </c>
      <c r="G43" s="4" t="inlineStr">
        <is>
          <t>Não iniciada</t>
        </is>
      </c>
      <c r="H43" s="3" t="inlineStr">
        <is>
          <t>Fórmulas, endpoint e uso documentados</t>
        </is>
      </c>
      <c r="I43" s="3" t="inlineStr">
        <is>
          <t>Documentação</t>
        </is>
      </c>
      <c r="J43" s="9" t="inlineStr">
        <is>
          <t>Média</t>
        </is>
      </c>
      <c r="K43" s="8" t="inlineStr"/>
      <c r="L43" s="8" t="inlineStr"/>
      <c r="M43" s="3" t="inlineStr"/>
    </row>
    <row r="44">
      <c r="A44" s="3" t="inlineStr">
        <is>
          <t>BE-015</t>
        </is>
      </c>
      <c r="B44" s="4" t="n">
        <v>4</v>
      </c>
      <c r="C44" s="3" t="inlineStr">
        <is>
          <t>Backend</t>
        </is>
      </c>
      <c r="D44" s="3" t="inlineStr">
        <is>
          <t>Criar schemas do Diagnóstico</t>
        </is>
      </c>
      <c r="E44" s="3" t="inlineStr">
        <is>
          <t>backend/app/schemas/diagnostic.py</t>
        </is>
      </c>
      <c r="F44" s="3" t="inlineStr">
        <is>
          <t>BE-003</t>
        </is>
      </c>
      <c r="G44" s="4" t="inlineStr">
        <is>
          <t>Não iniciada</t>
        </is>
      </c>
      <c r="H44" s="3" t="inlineStr">
        <is>
          <t>Contratos do diagnóstico definidos</t>
        </is>
      </c>
      <c r="I44" s="3" t="inlineStr">
        <is>
          <t>Backend</t>
        </is>
      </c>
      <c r="J44" s="7" t="inlineStr">
        <is>
          <t>Alta</t>
        </is>
      </c>
      <c r="K44" s="8" t="inlineStr"/>
      <c r="L44" s="8" t="inlineStr"/>
      <c r="M44" s="3" t="inlineStr"/>
    </row>
    <row r="45">
      <c r="A45" s="3" t="inlineStr">
        <is>
          <t>BE-016</t>
        </is>
      </c>
      <c r="B45" s="4" t="n">
        <v>4</v>
      </c>
      <c r="C45" s="3" t="inlineStr">
        <is>
          <t>Backend</t>
        </is>
      </c>
      <c r="D45" s="3" t="inlineStr">
        <is>
          <t>Implementar domínio do Diagnóstico</t>
        </is>
      </c>
      <c r="E45" s="3" t="inlineStr">
        <is>
          <t>financial_health.py</t>
        </is>
      </c>
      <c r="F45" s="3" t="inlineStr">
        <is>
          <t>BE-015</t>
        </is>
      </c>
      <c r="G45" s="4" t="inlineStr">
        <is>
          <t>Não iniciada</t>
        </is>
      </c>
      <c r="H45" s="3" t="inlineStr">
        <is>
          <t>Saldo, comprometimento, poupança e reserva calculados corretamente</t>
        </is>
      </c>
      <c r="I45" s="3" t="inlineStr">
        <is>
          <t>Backend</t>
        </is>
      </c>
      <c r="J45" s="7" t="inlineStr">
        <is>
          <t>Alta</t>
        </is>
      </c>
      <c r="K45" s="8" t="inlineStr"/>
      <c r="L45" s="8" t="inlineStr"/>
      <c r="M45" s="3" t="inlineStr"/>
    </row>
    <row r="46">
      <c r="A46" s="3" t="inlineStr">
        <is>
          <t>BE-017</t>
        </is>
      </c>
      <c r="B46" s="4" t="n">
        <v>4</v>
      </c>
      <c r="C46" s="3" t="inlineStr">
        <is>
          <t>Backend</t>
        </is>
      </c>
      <c r="D46" s="3" t="inlineStr">
        <is>
          <t>Criar serviço do Diagnóstico</t>
        </is>
      </c>
      <c r="E46" s="3" t="inlineStr">
        <is>
          <t>diagnostic_service.py</t>
        </is>
      </c>
      <c r="F46" s="3" t="inlineStr">
        <is>
          <t>BE-016</t>
        </is>
      </c>
      <c r="G46" s="4" t="inlineStr">
        <is>
          <t>Não iniciada</t>
        </is>
      </c>
      <c r="H46" s="3" t="inlineStr">
        <is>
          <t>Serviço monta resumo, alertas e interpretação</t>
        </is>
      </c>
      <c r="I46" s="3" t="inlineStr">
        <is>
          <t>Backend</t>
        </is>
      </c>
      <c r="J46" s="7" t="inlineStr">
        <is>
          <t>Alta</t>
        </is>
      </c>
      <c r="K46" s="8" t="inlineStr"/>
      <c r="L46" s="8" t="inlineStr"/>
      <c r="M46" s="3" t="inlineStr"/>
    </row>
    <row r="47">
      <c r="A47" s="3" t="inlineStr">
        <is>
          <t>BE-018</t>
        </is>
      </c>
      <c r="B47" s="4" t="n">
        <v>4</v>
      </c>
      <c r="C47" s="3" t="inlineStr">
        <is>
          <t>Backend</t>
        </is>
      </c>
      <c r="D47" s="3" t="inlineStr">
        <is>
          <t>Criar endpoint do Diagnóstico</t>
        </is>
      </c>
      <c r="E47" s="3" t="inlineStr">
        <is>
          <t>backend/app/api/routes/diagnostic.py</t>
        </is>
      </c>
      <c r="F47" s="3" t="inlineStr">
        <is>
          <t>BE-017</t>
        </is>
      </c>
      <c r="G47" s="4" t="inlineStr">
        <is>
          <t>Não iniciada</t>
        </is>
      </c>
      <c r="H47" s="3" t="inlineStr">
        <is>
          <t>POST /api/v1/diagnostic funcional</t>
        </is>
      </c>
      <c r="I47" s="3" t="inlineStr">
        <is>
          <t>Backend</t>
        </is>
      </c>
      <c r="J47" s="7" t="inlineStr">
        <is>
          <t>Alta</t>
        </is>
      </c>
      <c r="K47" s="8" t="inlineStr"/>
      <c r="L47" s="8" t="inlineStr"/>
      <c r="M47" s="3" t="inlineStr"/>
    </row>
    <row r="48">
      <c r="A48" s="3" t="inlineStr">
        <is>
          <t>FE-016</t>
        </is>
      </c>
      <c r="B48" s="4" t="n">
        <v>4</v>
      </c>
      <c r="C48" s="3" t="inlineStr">
        <is>
          <t>Frontend</t>
        </is>
      </c>
      <c r="D48" s="3" t="inlineStr">
        <is>
          <t>Criar página do Diagnóstico</t>
        </is>
      </c>
      <c r="E48" s="3" t="inlineStr">
        <is>
          <t>frontend/src/app/diagnostico/page.tsx</t>
        </is>
      </c>
      <c r="F48" s="3" t="inlineStr">
        <is>
          <t>FE-007</t>
        </is>
      </c>
      <c r="G48" s="4" t="inlineStr">
        <is>
          <t>Não iniciada</t>
        </is>
      </c>
      <c r="H48" s="3" t="inlineStr">
        <is>
          <t>Página do módulo criada</t>
        </is>
      </c>
      <c r="I48" s="3" t="inlineStr">
        <is>
          <t>Frontend</t>
        </is>
      </c>
      <c r="J48" s="7" t="inlineStr">
        <is>
          <t>Alta</t>
        </is>
      </c>
      <c r="K48" s="8" t="inlineStr"/>
      <c r="L48" s="8" t="inlineStr"/>
      <c r="M48" s="3" t="inlineStr"/>
    </row>
    <row r="49">
      <c r="A49" s="3" t="inlineStr">
        <is>
          <t>FE-017</t>
        </is>
      </c>
      <c r="B49" s="4" t="n">
        <v>4</v>
      </c>
      <c r="C49" s="3" t="inlineStr">
        <is>
          <t>Frontend</t>
        </is>
      </c>
      <c r="D49" s="3" t="inlineStr">
        <is>
          <t>Criar formulário do Diagnóstico</t>
        </is>
      </c>
      <c r="E49" s="3" t="inlineStr">
        <is>
          <t>DiagnosticForm.tsx</t>
        </is>
      </c>
      <c r="F49" s="3" t="inlineStr">
        <is>
          <t>FE-016</t>
        </is>
      </c>
      <c r="G49" s="4" t="inlineStr">
        <is>
          <t>Não iniciada</t>
        </is>
      </c>
      <c r="H49" s="3" t="inlineStr">
        <is>
          <t>Formulário envia renda, despesas e dívidas corretamente</t>
        </is>
      </c>
      <c r="I49" s="3" t="inlineStr">
        <is>
          <t>Frontend</t>
        </is>
      </c>
      <c r="J49" s="7" t="inlineStr">
        <is>
          <t>Alta</t>
        </is>
      </c>
      <c r="K49" s="8" t="inlineStr"/>
      <c r="L49" s="8" t="inlineStr"/>
      <c r="M49" s="3" t="inlineStr"/>
    </row>
    <row r="50">
      <c r="A50" s="3" t="inlineStr">
        <is>
          <t>FE-018</t>
        </is>
      </c>
      <c r="B50" s="4" t="n">
        <v>4</v>
      </c>
      <c r="C50" s="3" t="inlineStr">
        <is>
          <t>Frontend</t>
        </is>
      </c>
      <c r="D50" s="3" t="inlineStr">
        <is>
          <t>Criar cards e visualização do Diagnóstico</t>
        </is>
      </c>
      <c r="E50" s="3" t="inlineStr">
        <is>
          <t>DiagnosticSummaryCards.tsx; IncomeExpenseChart.tsx</t>
        </is>
      </c>
      <c r="F50" s="3" t="inlineStr">
        <is>
          <t>FE-017, BE-018</t>
        </is>
      </c>
      <c r="G50" s="4" t="inlineStr">
        <is>
          <t>Não iniciada</t>
        </is>
      </c>
      <c r="H50" s="3" t="inlineStr">
        <is>
          <t>Cards, gráfico e interpretação do diagnóstico exibidos</t>
        </is>
      </c>
      <c r="I50" s="3" t="inlineStr">
        <is>
          <t>Frontend</t>
        </is>
      </c>
      <c r="J50" s="7" t="inlineStr">
        <is>
          <t>Alta</t>
        </is>
      </c>
      <c r="K50" s="8" t="inlineStr"/>
      <c r="L50" s="8" t="inlineStr"/>
      <c r="M50" s="3" t="inlineStr"/>
    </row>
    <row r="51">
      <c r="A51" s="3" t="inlineStr">
        <is>
          <t>QA-009</t>
        </is>
      </c>
      <c r="B51" s="4" t="n">
        <v>4</v>
      </c>
      <c r="C51" s="3" t="inlineStr">
        <is>
          <t>Testes</t>
        </is>
      </c>
      <c r="D51" s="3" t="inlineStr">
        <is>
          <t>Testes do Diagnóstico</t>
        </is>
      </c>
      <c r="E51" s="3" t="inlineStr">
        <is>
          <t>test_diagnostic.py; test_diagnostic_route.py</t>
        </is>
      </c>
      <c r="F51" s="3" t="inlineStr">
        <is>
          <t>BE-018</t>
        </is>
      </c>
      <c r="G51" s="4" t="inlineStr">
        <is>
          <t>Não iniciada</t>
        </is>
      </c>
      <c r="H51" s="3" t="inlineStr">
        <is>
          <t>Regras e rota do diagnóstico protegidas</t>
        </is>
      </c>
      <c r="I51" s="3" t="inlineStr">
        <is>
          <t>QA / Backend</t>
        </is>
      </c>
      <c r="J51" s="7" t="inlineStr">
        <is>
          <t>Alta</t>
        </is>
      </c>
      <c r="K51" s="8" t="inlineStr"/>
      <c r="L51" s="8" t="inlineStr"/>
      <c r="M51" s="3" t="inlineStr"/>
    </row>
    <row r="52">
      <c r="A52" s="3" t="inlineStr">
        <is>
          <t>DOC-005</t>
        </is>
      </c>
      <c r="B52" s="4" t="n">
        <v>4</v>
      </c>
      <c r="C52" s="3" t="inlineStr">
        <is>
          <t>Documentação</t>
        </is>
      </c>
      <c r="D52" s="3" t="inlineStr">
        <is>
          <t>Documentar Diagnóstico</t>
        </is>
      </c>
      <c r="E52" s="3" t="inlineStr">
        <is>
          <t>docs/user-guide.md</t>
        </is>
      </c>
      <c r="F52" s="3" t="inlineStr">
        <is>
          <t>BE-018, FE-018</t>
        </is>
      </c>
      <c r="G52" s="4" t="inlineStr">
        <is>
          <t>Não iniciada</t>
        </is>
      </c>
      <c r="H52" s="3" t="inlineStr">
        <is>
          <t>Uso e interpretação do diagnóstico documentados</t>
        </is>
      </c>
      <c r="I52" s="3" t="inlineStr">
        <is>
          <t>Documentação</t>
        </is>
      </c>
      <c r="J52" s="9" t="inlineStr">
        <is>
          <t>Média</t>
        </is>
      </c>
      <c r="K52" s="8" t="inlineStr"/>
      <c r="L52" s="8" t="inlineStr"/>
      <c r="M52" s="3" t="inlineStr"/>
    </row>
    <row r="53">
      <c r="A53" s="3" t="inlineStr">
        <is>
          <t>BE-019</t>
        </is>
      </c>
      <c r="B53" s="4" t="n">
        <v>4</v>
      </c>
      <c r="C53" s="3" t="inlineStr">
        <is>
          <t>Backend</t>
        </is>
      </c>
      <c r="D53" s="3" t="inlineStr">
        <is>
          <t>Criar schemas do Financiamento Imobiliário</t>
        </is>
      </c>
      <c r="E53" s="3" t="inlineStr">
        <is>
          <t>real_estate_financing.py</t>
        </is>
      </c>
      <c r="F53" s="3" t="inlineStr">
        <is>
          <t>BE-003</t>
        </is>
      </c>
      <c r="G53" s="4" t="inlineStr">
        <is>
          <t>Não iniciada</t>
        </is>
      </c>
      <c r="H53" s="3" t="inlineStr">
        <is>
          <t>Contratos do módulo definidos</t>
        </is>
      </c>
      <c r="I53" s="3" t="inlineStr">
        <is>
          <t>Backend</t>
        </is>
      </c>
      <c r="J53" s="7" t="inlineStr">
        <is>
          <t>Alta</t>
        </is>
      </c>
      <c r="K53" s="8" t="inlineStr"/>
      <c r="L53" s="8" t="inlineStr"/>
      <c r="M53" s="3" t="inlineStr"/>
    </row>
    <row r="54">
      <c r="A54" s="3" t="inlineStr">
        <is>
          <t>BE-020</t>
        </is>
      </c>
      <c r="B54" s="4" t="n">
        <v>4</v>
      </c>
      <c r="C54" s="3" t="inlineStr">
        <is>
          <t>Backend</t>
        </is>
      </c>
      <c r="D54" s="3" t="inlineStr">
        <is>
          <t>Implementar domínio do Financiamento Imobiliário</t>
        </is>
      </c>
      <c r="E54" s="3" t="inlineStr">
        <is>
          <t>backend/app/domain/financing/real_estate.py</t>
        </is>
      </c>
      <c r="F54" s="3" t="inlineStr">
        <is>
          <t>BE-019, BE-011, BE-012</t>
        </is>
      </c>
      <c r="G54" s="4" t="inlineStr">
        <is>
          <t>Não iniciada</t>
        </is>
      </c>
      <c r="H54" s="3" t="inlineStr">
        <is>
          <t>Valor financiado, parcelas, total pago e juros calculados corretamente</t>
        </is>
      </c>
      <c r="I54" s="3" t="inlineStr">
        <is>
          <t>Backend</t>
        </is>
      </c>
      <c r="J54" s="7" t="inlineStr">
        <is>
          <t>Alta</t>
        </is>
      </c>
      <c r="K54" s="8" t="inlineStr"/>
      <c r="L54" s="8" t="inlineStr"/>
      <c r="M54" s="3" t="inlineStr"/>
    </row>
    <row r="55">
      <c r="A55" s="3" t="inlineStr">
        <is>
          <t>BE-021</t>
        </is>
      </c>
      <c r="B55" s="4" t="n">
        <v>4</v>
      </c>
      <c r="C55" s="3" t="inlineStr">
        <is>
          <t>Backend</t>
        </is>
      </c>
      <c r="D55" s="3" t="inlineStr">
        <is>
          <t>Criar serviço do Financiamento Imobiliário</t>
        </is>
      </c>
      <c r="E55" s="3" t="inlineStr">
        <is>
          <t>real_estate_financing_service.py</t>
        </is>
      </c>
      <c r="F55" s="3" t="inlineStr">
        <is>
          <t>BE-020</t>
        </is>
      </c>
      <c r="G55" s="4" t="inlineStr">
        <is>
          <t>Não iniciada</t>
        </is>
      </c>
      <c r="H55" s="3" t="inlineStr">
        <is>
          <t>Serviço monta comparação PRICE/SAC, alertas e interpretação</t>
        </is>
      </c>
      <c r="I55" s="3" t="inlineStr">
        <is>
          <t>Backend</t>
        </is>
      </c>
      <c r="J55" s="7" t="inlineStr">
        <is>
          <t>Alta</t>
        </is>
      </c>
      <c r="K55" s="8" t="inlineStr"/>
      <c r="L55" s="8" t="inlineStr"/>
      <c r="M55" s="3" t="inlineStr"/>
    </row>
    <row r="56">
      <c r="A56" s="3" t="inlineStr">
        <is>
          <t>BE-022</t>
        </is>
      </c>
      <c r="B56" s="4" t="n">
        <v>4</v>
      </c>
      <c r="C56" s="3" t="inlineStr">
        <is>
          <t>Backend</t>
        </is>
      </c>
      <c r="D56" s="3" t="inlineStr">
        <is>
          <t>Criar endpoint do Financiamento Imobiliário</t>
        </is>
      </c>
      <c r="E56" s="3" t="inlineStr">
        <is>
          <t>backend/app/api/routes/real_estate_financing.py</t>
        </is>
      </c>
      <c r="F56" s="3" t="inlineStr">
        <is>
          <t>BE-021</t>
        </is>
      </c>
      <c r="G56" s="4" t="inlineStr">
        <is>
          <t>Não iniciada</t>
        </is>
      </c>
      <c r="H56" s="3" t="inlineStr">
        <is>
          <t>POST /api/v1/financing/real-estate funcional</t>
        </is>
      </c>
      <c r="I56" s="3" t="inlineStr">
        <is>
          <t>Backend</t>
        </is>
      </c>
      <c r="J56" s="7" t="inlineStr">
        <is>
          <t>Alta</t>
        </is>
      </c>
      <c r="K56" s="8" t="inlineStr"/>
      <c r="L56" s="8" t="inlineStr"/>
      <c r="M56" s="3" t="inlineStr"/>
    </row>
    <row r="57">
      <c r="A57" s="3" t="inlineStr">
        <is>
          <t>FE-019</t>
        </is>
      </c>
      <c r="B57" s="4" t="n">
        <v>4</v>
      </c>
      <c r="C57" s="3" t="inlineStr">
        <is>
          <t>Frontend</t>
        </is>
      </c>
      <c r="D57" s="3" t="inlineStr">
        <is>
          <t>Criar página do Financiamento Imobiliário</t>
        </is>
      </c>
      <c r="E57" s="3" t="inlineStr">
        <is>
          <t>frontend/src/app/financiamento-imobiliario/page.tsx</t>
        </is>
      </c>
      <c r="F57" s="3" t="inlineStr">
        <is>
          <t>FE-007</t>
        </is>
      </c>
      <c r="G57" s="4" t="inlineStr">
        <is>
          <t>Não iniciada</t>
        </is>
      </c>
      <c r="H57" s="3" t="inlineStr">
        <is>
          <t>Página do módulo criada</t>
        </is>
      </c>
      <c r="I57" s="3" t="inlineStr">
        <is>
          <t>Frontend</t>
        </is>
      </c>
      <c r="J57" s="7" t="inlineStr">
        <is>
          <t>Alta</t>
        </is>
      </c>
      <c r="K57" s="8" t="inlineStr"/>
      <c r="L57" s="8" t="inlineStr"/>
      <c r="M57" s="3" t="inlineStr"/>
    </row>
    <row r="58">
      <c r="A58" s="3" t="inlineStr">
        <is>
          <t>FE-020</t>
        </is>
      </c>
      <c r="B58" s="4" t="n">
        <v>4</v>
      </c>
      <c r="C58" s="3" t="inlineStr">
        <is>
          <t>Frontend</t>
        </is>
      </c>
      <c r="D58" s="3" t="inlineStr">
        <is>
          <t>Criar formulário do Financiamento Imobiliário</t>
        </is>
      </c>
      <c r="E58" s="3" t="inlineStr">
        <is>
          <t>RealEstateFinancingForm.tsx</t>
        </is>
      </c>
      <c r="F58" s="3" t="inlineStr">
        <is>
          <t>FE-019</t>
        </is>
      </c>
      <c r="G58" s="4" t="inlineStr">
        <is>
          <t>Não iniciada</t>
        </is>
      </c>
      <c r="H58" s="3" t="inlineStr">
        <is>
          <t>Formulário envia dados do imóvel, entrada, taxa e sistema</t>
        </is>
      </c>
      <c r="I58" s="3" t="inlineStr">
        <is>
          <t>Frontend</t>
        </is>
      </c>
      <c r="J58" s="7" t="inlineStr">
        <is>
          <t>Alta</t>
        </is>
      </c>
      <c r="K58" s="8" t="inlineStr"/>
      <c r="L58" s="8" t="inlineStr"/>
      <c r="M58" s="3" t="inlineStr"/>
    </row>
    <row r="59">
      <c r="A59" s="3" t="inlineStr">
        <is>
          <t>FE-021</t>
        </is>
      </c>
      <c r="B59" s="4" t="n">
        <v>4</v>
      </c>
      <c r="C59" s="3" t="inlineStr">
        <is>
          <t>Frontend</t>
        </is>
      </c>
      <c r="D59" s="3" t="inlineStr">
        <is>
          <t>Criar cards/tabela/gráfico do Financiamento Imobiliário</t>
        </is>
      </c>
      <c r="E59" s="3" t="inlineStr">
        <is>
          <t>RealEstateSummaryCards.tsx; RealEstateInstallmentsTable.tsx; RealEstateBalanceChart.tsx</t>
        </is>
      </c>
      <c r="F59" s="3" t="inlineStr">
        <is>
          <t>FE-020, BE-022</t>
        </is>
      </c>
      <c r="G59" s="4" t="inlineStr">
        <is>
          <t>Não iniciada</t>
        </is>
      </c>
      <c r="H59" s="3" t="inlineStr">
        <is>
          <t>Resultado completo exibido com alerta e interpretação</t>
        </is>
      </c>
      <c r="I59" s="3" t="inlineStr">
        <is>
          <t>Frontend</t>
        </is>
      </c>
      <c r="J59" s="7" t="inlineStr">
        <is>
          <t>Alta</t>
        </is>
      </c>
      <c r="K59" s="8" t="inlineStr"/>
      <c r="L59" s="8" t="inlineStr"/>
      <c r="M59" s="3" t="inlineStr"/>
    </row>
    <row r="60">
      <c r="A60" s="3" t="inlineStr">
        <is>
          <t>QA-010</t>
        </is>
      </c>
      <c r="B60" s="4" t="n">
        <v>4</v>
      </c>
      <c r="C60" s="3" t="inlineStr">
        <is>
          <t>Testes</t>
        </is>
      </c>
      <c r="D60" s="3" t="inlineStr">
        <is>
          <t>Testes do Financiamento Imobiliário</t>
        </is>
      </c>
      <c r="E60" s="3" t="inlineStr">
        <is>
          <t>test_real_estate_financing.py; test_real_estate_financing_route.py</t>
        </is>
      </c>
      <c r="F60" s="3" t="inlineStr">
        <is>
          <t>BE-022</t>
        </is>
      </c>
      <c r="G60" s="4" t="inlineStr">
        <is>
          <t>Não iniciada</t>
        </is>
      </c>
      <c r="H60" s="3" t="inlineStr">
        <is>
          <t>Cálculo e rota protegidos</t>
        </is>
      </c>
      <c r="I60" s="3" t="inlineStr">
        <is>
          <t>QA / Backend</t>
        </is>
      </c>
      <c r="J60" s="7" t="inlineStr">
        <is>
          <t>Alta</t>
        </is>
      </c>
      <c r="K60" s="8" t="inlineStr"/>
      <c r="L60" s="8" t="inlineStr"/>
      <c r="M60" s="3" t="inlineStr"/>
    </row>
    <row r="61">
      <c r="A61" s="3" t="inlineStr">
        <is>
          <t>QA-011</t>
        </is>
      </c>
      <c r="B61" s="4" t="n">
        <v>4</v>
      </c>
      <c r="C61" s="3" t="inlineStr">
        <is>
          <t>Testes</t>
        </is>
      </c>
      <c r="D61" s="3" t="inlineStr">
        <is>
          <t>Testes frontend da sprint</t>
        </is>
      </c>
      <c r="E61" s="3" t="inlineStr">
        <is>
          <t>testes das páginas e formulários do diagnóstico e financiamento</t>
        </is>
      </c>
      <c r="F61" s="3" t="inlineStr">
        <is>
          <t>FE-018, FE-021</t>
        </is>
      </c>
      <c r="G61" s="4" t="inlineStr">
        <is>
          <t>Não iniciada</t>
        </is>
      </c>
      <c r="H61" s="3" t="inlineStr">
        <is>
          <t>UI básica dos dois módulos coberta</t>
        </is>
      </c>
      <c r="I61" s="3" t="inlineStr">
        <is>
          <t>QA / Frontend</t>
        </is>
      </c>
      <c r="J61" s="9" t="inlineStr">
        <is>
          <t>Média</t>
        </is>
      </c>
      <c r="K61" s="8" t="inlineStr"/>
      <c r="L61" s="8" t="inlineStr"/>
      <c r="M61" s="3" t="inlineStr"/>
    </row>
    <row r="62">
      <c r="A62" s="3" t="inlineStr">
        <is>
          <t>DOC-006</t>
        </is>
      </c>
      <c r="B62" s="4" t="n">
        <v>4</v>
      </c>
      <c r="C62" s="3" t="inlineStr">
        <is>
          <t>Documentação</t>
        </is>
      </c>
      <c r="D62" s="3" t="inlineStr">
        <is>
          <t>Documentar Diagnóstico e Financiamento Imobiliário</t>
        </is>
      </c>
      <c r="E62" s="3" t="inlineStr">
        <is>
          <t>docs/api-contract.md; docs/user-guide.md</t>
        </is>
      </c>
      <c r="F62" s="3" t="inlineStr">
        <is>
          <t>BE-022, FE-021</t>
        </is>
      </c>
      <c r="G62" s="4" t="inlineStr">
        <is>
          <t>Não iniciada</t>
        </is>
      </c>
      <c r="H62" s="3" t="inlineStr">
        <is>
          <t>Endpoints e uso dos módulos documentados</t>
        </is>
      </c>
      <c r="I62" s="3" t="inlineStr">
        <is>
          <t>Documentação</t>
        </is>
      </c>
      <c r="J62" s="9" t="inlineStr">
        <is>
          <t>Média</t>
        </is>
      </c>
      <c r="K62" s="8" t="inlineStr"/>
      <c r="L62" s="8" t="inlineStr"/>
      <c r="M62" s="3" t="inlineStr"/>
    </row>
    <row r="63">
      <c r="A63" s="3" t="inlineStr">
        <is>
          <t>BE-023</t>
        </is>
      </c>
      <c r="B63" s="4" t="n">
        <v>5</v>
      </c>
      <c r="C63" s="3" t="inlineStr">
        <is>
          <t>Backend</t>
        </is>
      </c>
      <c r="D63" s="3" t="inlineStr">
        <is>
          <t>Criar schema de Financiamento de Veículo</t>
        </is>
      </c>
      <c r="E63" s="3" t="inlineStr">
        <is>
          <t>vehicle_financing.py</t>
        </is>
      </c>
      <c r="F63" s="3" t="inlineStr">
        <is>
          <t>BE-003</t>
        </is>
      </c>
      <c r="G63" s="4" t="inlineStr">
        <is>
          <t>Não iniciada</t>
        </is>
      </c>
      <c r="H63" s="3" t="inlineStr">
        <is>
          <t>Contrato do módulo definido</t>
        </is>
      </c>
      <c r="I63" s="3" t="inlineStr">
        <is>
          <t>Backend</t>
        </is>
      </c>
      <c r="J63" s="7" t="inlineStr">
        <is>
          <t>Alta</t>
        </is>
      </c>
      <c r="K63" s="8" t="inlineStr"/>
      <c r="L63" s="8" t="inlineStr"/>
      <c r="M63" s="3" t="inlineStr"/>
    </row>
    <row r="64">
      <c r="A64" s="3" t="inlineStr">
        <is>
          <t>BE-024</t>
        </is>
      </c>
      <c r="B64" s="4" t="n">
        <v>5</v>
      </c>
      <c r="C64" s="3" t="inlineStr">
        <is>
          <t>Backend</t>
        </is>
      </c>
      <c r="D64" s="3" t="inlineStr">
        <is>
          <t>Implementar domínio de Financiamento de Veículo</t>
        </is>
      </c>
      <c r="E64" s="3" t="inlineStr">
        <is>
          <t>backend/app/domain/financing/vehicle.py</t>
        </is>
      </c>
      <c r="F64" s="3" t="inlineStr">
        <is>
          <t>BE-023</t>
        </is>
      </c>
      <c r="G64" s="4" t="inlineStr">
        <is>
          <t>Não iniciada</t>
        </is>
      </c>
      <c r="H64" s="3" t="inlineStr">
        <is>
          <t>Parcela, total pago, juros e comprometimento calculados corretamente</t>
        </is>
      </c>
      <c r="I64" s="3" t="inlineStr">
        <is>
          <t>Backend</t>
        </is>
      </c>
      <c r="J64" s="7" t="inlineStr">
        <is>
          <t>Alta</t>
        </is>
      </c>
      <c r="K64" s="8" t="inlineStr"/>
      <c r="L64" s="8" t="inlineStr"/>
      <c r="M64" s="3" t="inlineStr"/>
    </row>
    <row r="65">
      <c r="A65" s="3" t="inlineStr">
        <is>
          <t>BE-025</t>
        </is>
      </c>
      <c r="B65" s="4" t="n">
        <v>5</v>
      </c>
      <c r="C65" s="3" t="inlineStr">
        <is>
          <t>Backend</t>
        </is>
      </c>
      <c r="D65" s="3" t="inlineStr">
        <is>
          <t>Criar serviço de Financiamento de Veículo</t>
        </is>
      </c>
      <c r="E65" s="3" t="inlineStr">
        <is>
          <t>vehicle_financing_service.py</t>
        </is>
      </c>
      <c r="F65" s="3" t="inlineStr">
        <is>
          <t>BE-024</t>
        </is>
      </c>
      <c r="G65" s="4" t="inlineStr">
        <is>
          <t>Não iniciada</t>
        </is>
      </c>
      <c r="H65" s="3" t="inlineStr">
        <is>
          <t>Serviço monta resumo, alertas e interpretação</t>
        </is>
      </c>
      <c r="I65" s="3" t="inlineStr">
        <is>
          <t>Backend</t>
        </is>
      </c>
      <c r="J65" s="7" t="inlineStr">
        <is>
          <t>Alta</t>
        </is>
      </c>
      <c r="K65" s="8" t="inlineStr"/>
      <c r="L65" s="8" t="inlineStr"/>
      <c r="M65" s="3" t="inlineStr"/>
    </row>
    <row r="66">
      <c r="A66" s="3" t="inlineStr">
        <is>
          <t>BE-026</t>
        </is>
      </c>
      <c r="B66" s="4" t="n">
        <v>5</v>
      </c>
      <c r="C66" s="3" t="inlineStr">
        <is>
          <t>Backend</t>
        </is>
      </c>
      <c r="D66" s="3" t="inlineStr">
        <is>
          <t>Criar endpoint de Financiamento de Veículo</t>
        </is>
      </c>
      <c r="E66" s="3" t="inlineStr">
        <is>
          <t>vehicle_financing.py route</t>
        </is>
      </c>
      <c r="F66" s="3" t="inlineStr">
        <is>
          <t>BE-025</t>
        </is>
      </c>
      <c r="G66" s="4" t="inlineStr">
        <is>
          <t>Não iniciada</t>
        </is>
      </c>
      <c r="H66" s="3" t="inlineStr">
        <is>
          <t>POST /api/v1/financing/vehicle funcional</t>
        </is>
      </c>
      <c r="I66" s="3" t="inlineStr">
        <is>
          <t>Backend</t>
        </is>
      </c>
      <c r="J66" s="7" t="inlineStr">
        <is>
          <t>Alta</t>
        </is>
      </c>
      <c r="K66" s="8" t="inlineStr"/>
      <c r="L66" s="8" t="inlineStr"/>
      <c r="M66" s="3" t="inlineStr"/>
    </row>
    <row r="67">
      <c r="A67" s="3" t="inlineStr">
        <is>
          <t>FE-022</t>
        </is>
      </c>
      <c r="B67" s="4" t="n">
        <v>5</v>
      </c>
      <c r="C67" s="3" t="inlineStr">
        <is>
          <t>Frontend</t>
        </is>
      </c>
      <c r="D67" s="3" t="inlineStr">
        <is>
          <t>Criar página do Financiamento de Veículo</t>
        </is>
      </c>
      <c r="E67" s="3" t="inlineStr">
        <is>
          <t>frontend/src/app/financiamento-veiculo/page.tsx</t>
        </is>
      </c>
      <c r="F67" s="3" t="inlineStr">
        <is>
          <t>FE-007</t>
        </is>
      </c>
      <c r="G67" s="4" t="inlineStr">
        <is>
          <t>Não iniciada</t>
        </is>
      </c>
      <c r="H67" s="3" t="inlineStr">
        <is>
          <t>Página do módulo criada</t>
        </is>
      </c>
      <c r="I67" s="3" t="inlineStr">
        <is>
          <t>Frontend</t>
        </is>
      </c>
      <c r="J67" s="7" t="inlineStr">
        <is>
          <t>Alta</t>
        </is>
      </c>
      <c r="K67" s="8" t="inlineStr"/>
      <c r="L67" s="8" t="inlineStr"/>
      <c r="M67" s="3" t="inlineStr"/>
    </row>
    <row r="68">
      <c r="A68" s="3" t="inlineStr">
        <is>
          <t>FE-023</t>
        </is>
      </c>
      <c r="B68" s="4" t="n">
        <v>5</v>
      </c>
      <c r="C68" s="3" t="inlineStr">
        <is>
          <t>Frontend</t>
        </is>
      </c>
      <c r="D68" s="3" t="inlineStr">
        <is>
          <t>Criar formulário do Financiamento de Veículo</t>
        </is>
      </c>
      <c r="E68" s="3" t="inlineStr">
        <is>
          <t>VehicleFinancingForm.tsx</t>
        </is>
      </c>
      <c r="F68" s="3" t="inlineStr">
        <is>
          <t>FE-022</t>
        </is>
      </c>
      <c r="G68" s="4" t="inlineStr">
        <is>
          <t>Não iniciada</t>
        </is>
      </c>
      <c r="H68" s="3" t="inlineStr">
        <is>
          <t>Formulário funcional</t>
        </is>
      </c>
      <c r="I68" s="3" t="inlineStr">
        <is>
          <t>Frontend</t>
        </is>
      </c>
      <c r="J68" s="7" t="inlineStr">
        <is>
          <t>Alta</t>
        </is>
      </c>
      <c r="K68" s="8" t="inlineStr"/>
      <c r="L68" s="8" t="inlineStr"/>
      <c r="M68" s="3" t="inlineStr"/>
    </row>
    <row r="69">
      <c r="A69" s="3" t="inlineStr">
        <is>
          <t>FE-024</t>
        </is>
      </c>
      <c r="B69" s="4" t="n">
        <v>5</v>
      </c>
      <c r="C69" s="3" t="inlineStr">
        <is>
          <t>Frontend</t>
        </is>
      </c>
      <c r="D69" s="3" t="inlineStr">
        <is>
          <t>Criar cards/tabela/gráfico do Financiamento de Veículo</t>
        </is>
      </c>
      <c r="E69" s="3" t="inlineStr">
        <is>
          <t>componentes do módulo</t>
        </is>
      </c>
      <c r="F69" s="3" t="inlineStr">
        <is>
          <t>FE-023, BE-026</t>
        </is>
      </c>
      <c r="G69" s="4" t="inlineStr">
        <is>
          <t>Não iniciada</t>
        </is>
      </c>
      <c r="H69" s="3" t="inlineStr">
        <is>
          <t>Resultado do módulo exibido com clareza</t>
        </is>
      </c>
      <c r="I69" s="3" t="inlineStr">
        <is>
          <t>Frontend</t>
        </is>
      </c>
      <c r="J69" s="7" t="inlineStr">
        <is>
          <t>Alta</t>
        </is>
      </c>
      <c r="K69" s="8" t="inlineStr"/>
      <c r="L69" s="8" t="inlineStr"/>
      <c r="M69" s="3" t="inlineStr"/>
    </row>
    <row r="70">
      <c r="A70" s="3" t="inlineStr">
        <is>
          <t>BE-027</t>
        </is>
      </c>
      <c r="B70" s="4" t="n">
        <v>5</v>
      </c>
      <c r="C70" s="3" t="inlineStr">
        <is>
          <t>Backend</t>
        </is>
      </c>
      <c r="D70" s="3" t="inlineStr">
        <is>
          <t>Criar schema do Consignado</t>
        </is>
      </c>
      <c r="E70" s="3" t="inlineStr">
        <is>
          <t>payroll_loan.py</t>
        </is>
      </c>
      <c r="F70" s="3" t="inlineStr">
        <is>
          <t>BE-003</t>
        </is>
      </c>
      <c r="G70" s="4" t="inlineStr">
        <is>
          <t>Não iniciada</t>
        </is>
      </c>
      <c r="H70" s="3" t="inlineStr">
        <is>
          <t>Contrato do módulo definido</t>
        </is>
      </c>
      <c r="I70" s="3" t="inlineStr">
        <is>
          <t>Backend</t>
        </is>
      </c>
      <c r="J70" s="7" t="inlineStr">
        <is>
          <t>Alta</t>
        </is>
      </c>
      <c r="K70" s="8" t="inlineStr"/>
      <c r="L70" s="8" t="inlineStr"/>
      <c r="M70" s="3" t="inlineStr"/>
    </row>
    <row r="71">
      <c r="A71" s="3" t="inlineStr">
        <is>
          <t>BE-028</t>
        </is>
      </c>
      <c r="B71" s="4" t="n">
        <v>5</v>
      </c>
      <c r="C71" s="3" t="inlineStr">
        <is>
          <t>Backend</t>
        </is>
      </c>
      <c r="D71" s="3" t="inlineStr">
        <is>
          <t>Implementar domínio do Consignado</t>
        </is>
      </c>
      <c r="E71" s="3" t="inlineStr">
        <is>
          <t>backend/app/domain/loans/payroll.py</t>
        </is>
      </c>
      <c r="F71" s="3" t="inlineStr">
        <is>
          <t>BE-027</t>
        </is>
      </c>
      <c r="G71" s="4" t="inlineStr">
        <is>
          <t>Não iniciada</t>
        </is>
      </c>
      <c r="H71" s="3" t="inlineStr">
        <is>
          <t>Parcela, total pago e margem consignável calculados corretamente</t>
        </is>
      </c>
      <c r="I71" s="3" t="inlineStr">
        <is>
          <t>Backend</t>
        </is>
      </c>
      <c r="J71" s="7" t="inlineStr">
        <is>
          <t>Alta</t>
        </is>
      </c>
      <c r="K71" s="8" t="inlineStr"/>
      <c r="L71" s="8" t="inlineStr"/>
      <c r="M71" s="3" t="inlineStr"/>
    </row>
    <row r="72">
      <c r="A72" s="3" t="inlineStr">
        <is>
          <t>BE-029</t>
        </is>
      </c>
      <c r="B72" s="4" t="n">
        <v>5</v>
      </c>
      <c r="C72" s="3" t="inlineStr">
        <is>
          <t>Backend</t>
        </is>
      </c>
      <c r="D72" s="3" t="inlineStr">
        <is>
          <t>Criar serviço do Consignado</t>
        </is>
      </c>
      <c r="E72" s="3" t="inlineStr">
        <is>
          <t>payroll_loan_service.py</t>
        </is>
      </c>
      <c r="F72" s="3" t="inlineStr">
        <is>
          <t>BE-028</t>
        </is>
      </c>
      <c r="G72" s="4" t="inlineStr">
        <is>
          <t>Não iniciada</t>
        </is>
      </c>
      <c r="H72" s="3" t="inlineStr">
        <is>
          <t>Serviço monta alerta de margem e interpretação</t>
        </is>
      </c>
      <c r="I72" s="3" t="inlineStr">
        <is>
          <t>Backend</t>
        </is>
      </c>
      <c r="J72" s="7" t="inlineStr">
        <is>
          <t>Alta</t>
        </is>
      </c>
      <c r="K72" s="8" t="inlineStr"/>
      <c r="L72" s="8" t="inlineStr"/>
      <c r="M72" s="3" t="inlineStr"/>
    </row>
    <row r="73">
      <c r="A73" s="3" t="inlineStr">
        <is>
          <t>BE-030</t>
        </is>
      </c>
      <c r="B73" s="4" t="n">
        <v>5</v>
      </c>
      <c r="C73" s="3" t="inlineStr">
        <is>
          <t>Backend</t>
        </is>
      </c>
      <c r="D73" s="3" t="inlineStr">
        <is>
          <t>Criar endpoint do Consignado</t>
        </is>
      </c>
      <c r="E73" s="3" t="inlineStr">
        <is>
          <t>backend/app/api/routes/payroll_loan.py</t>
        </is>
      </c>
      <c r="F73" s="3" t="inlineStr">
        <is>
          <t>BE-029</t>
        </is>
      </c>
      <c r="G73" s="4" t="inlineStr">
        <is>
          <t>Não iniciada</t>
        </is>
      </c>
      <c r="H73" s="3" t="inlineStr">
        <is>
          <t>POST /api/v1/loan/payroll funcional</t>
        </is>
      </c>
      <c r="I73" s="3" t="inlineStr">
        <is>
          <t>Backend</t>
        </is>
      </c>
      <c r="J73" s="7" t="inlineStr">
        <is>
          <t>Alta</t>
        </is>
      </c>
      <c r="K73" s="8" t="inlineStr"/>
      <c r="L73" s="8" t="inlineStr"/>
      <c r="M73" s="3" t="inlineStr"/>
    </row>
    <row r="74">
      <c r="A74" s="3" t="inlineStr">
        <is>
          <t>FE-025</t>
        </is>
      </c>
      <c r="B74" s="4" t="n">
        <v>5</v>
      </c>
      <c r="C74" s="3" t="inlineStr">
        <is>
          <t>Frontend</t>
        </is>
      </c>
      <c r="D74" s="3" t="inlineStr">
        <is>
          <t>Criar página do Consignado</t>
        </is>
      </c>
      <c r="E74" s="3" t="inlineStr">
        <is>
          <t>frontend/src/app/emprestimo-consignado/page.tsx</t>
        </is>
      </c>
      <c r="F74" s="3" t="inlineStr">
        <is>
          <t>FE-007</t>
        </is>
      </c>
      <c r="G74" s="4" t="inlineStr">
        <is>
          <t>Não iniciada</t>
        </is>
      </c>
      <c r="H74" s="3" t="inlineStr">
        <is>
          <t>Página criada</t>
        </is>
      </c>
      <c r="I74" s="3" t="inlineStr">
        <is>
          <t>Frontend</t>
        </is>
      </c>
      <c r="J74" s="7" t="inlineStr">
        <is>
          <t>Alta</t>
        </is>
      </c>
      <c r="K74" s="8" t="inlineStr"/>
      <c r="L74" s="8" t="inlineStr"/>
      <c r="M74" s="3" t="inlineStr"/>
    </row>
    <row r="75">
      <c r="A75" s="3" t="inlineStr">
        <is>
          <t>FE-026</t>
        </is>
      </c>
      <c r="B75" s="4" t="n">
        <v>5</v>
      </c>
      <c r="C75" s="3" t="inlineStr">
        <is>
          <t>Frontend</t>
        </is>
      </c>
      <c r="D75" s="3" t="inlineStr">
        <is>
          <t>Criar formulário do Consignado</t>
        </is>
      </c>
      <c r="E75" s="3" t="inlineStr">
        <is>
          <t>PayrollLoanForm.tsx</t>
        </is>
      </c>
      <c r="F75" s="3" t="inlineStr">
        <is>
          <t>FE-025</t>
        </is>
      </c>
      <c r="G75" s="4" t="inlineStr">
        <is>
          <t>Não iniciada</t>
        </is>
      </c>
      <c r="H75" s="3" t="inlineStr">
        <is>
          <t>Formulário funcional</t>
        </is>
      </c>
      <c r="I75" s="3" t="inlineStr">
        <is>
          <t>Frontend</t>
        </is>
      </c>
      <c r="J75" s="7" t="inlineStr">
        <is>
          <t>Alta</t>
        </is>
      </c>
      <c r="K75" s="8" t="inlineStr"/>
      <c r="L75" s="8" t="inlineStr"/>
      <c r="M75" s="3" t="inlineStr"/>
    </row>
    <row r="76">
      <c r="A76" s="3" t="inlineStr">
        <is>
          <t>FE-027</t>
        </is>
      </c>
      <c r="B76" s="4" t="n">
        <v>5</v>
      </c>
      <c r="C76" s="3" t="inlineStr">
        <is>
          <t>Frontend</t>
        </is>
      </c>
      <c r="D76" s="3" t="inlineStr">
        <is>
          <t>Criar visualização do Consignado</t>
        </is>
      </c>
      <c r="E76" s="3" t="inlineStr">
        <is>
          <t>componentes do módulo</t>
        </is>
      </c>
      <c r="F76" s="3" t="inlineStr">
        <is>
          <t>FE-026, BE-030</t>
        </is>
      </c>
      <c r="G76" s="4" t="inlineStr">
        <is>
          <t>Não iniciada</t>
        </is>
      </c>
      <c r="H76" s="3" t="inlineStr">
        <is>
          <t>Resultado e alerta de margem visíveis</t>
        </is>
      </c>
      <c r="I76" s="3" t="inlineStr">
        <is>
          <t>Frontend</t>
        </is>
      </c>
      <c r="J76" s="7" t="inlineStr">
        <is>
          <t>Alta</t>
        </is>
      </c>
      <c r="K76" s="8" t="inlineStr"/>
      <c r="L76" s="8" t="inlineStr"/>
      <c r="M76" s="3" t="inlineStr"/>
    </row>
    <row r="77">
      <c r="A77" s="3" t="inlineStr">
        <is>
          <t>BE-031</t>
        </is>
      </c>
      <c r="B77" s="4" t="n">
        <v>5</v>
      </c>
      <c r="C77" s="3" t="inlineStr">
        <is>
          <t>Backend</t>
        </is>
      </c>
      <c r="D77" s="3" t="inlineStr">
        <is>
          <t>Criar schema do CDC</t>
        </is>
      </c>
      <c r="E77" s="3" t="inlineStr">
        <is>
          <t>cdc.py</t>
        </is>
      </c>
      <c r="F77" s="3" t="inlineStr">
        <is>
          <t>BE-003</t>
        </is>
      </c>
      <c r="G77" s="4" t="inlineStr">
        <is>
          <t>Não iniciada</t>
        </is>
      </c>
      <c r="H77" s="3" t="inlineStr">
        <is>
          <t>Contrato do módulo definido</t>
        </is>
      </c>
      <c r="I77" s="3" t="inlineStr">
        <is>
          <t>Backend</t>
        </is>
      </c>
      <c r="J77" s="7" t="inlineStr">
        <is>
          <t>Alta</t>
        </is>
      </c>
      <c r="K77" s="8" t="inlineStr"/>
      <c r="L77" s="8" t="inlineStr"/>
      <c r="M77" s="3" t="inlineStr"/>
    </row>
    <row r="78">
      <c r="A78" s="3" t="inlineStr">
        <is>
          <t>BE-032</t>
        </is>
      </c>
      <c r="B78" s="4" t="n">
        <v>5</v>
      </c>
      <c r="C78" s="3" t="inlineStr">
        <is>
          <t>Backend</t>
        </is>
      </c>
      <c r="D78" s="3" t="inlineStr">
        <is>
          <t>Implementar domínio do CDC</t>
        </is>
      </c>
      <c r="E78" s="3" t="inlineStr">
        <is>
          <t>backend/app/domain/loans/cdc.py</t>
        </is>
      </c>
      <c r="F78" s="3" t="inlineStr">
        <is>
          <t>BE-031</t>
        </is>
      </c>
      <c r="G78" s="4" t="inlineStr">
        <is>
          <t>Não iniciada</t>
        </is>
      </c>
      <c r="H78" s="3" t="inlineStr">
        <is>
          <t>Parcela, custo com e sem CET e juros calculados corretamente</t>
        </is>
      </c>
      <c r="I78" s="3" t="inlineStr">
        <is>
          <t>Backend</t>
        </is>
      </c>
      <c r="J78" s="7" t="inlineStr">
        <is>
          <t>Alta</t>
        </is>
      </c>
      <c r="K78" s="8" t="inlineStr"/>
      <c r="L78" s="8" t="inlineStr"/>
      <c r="M78" s="3" t="inlineStr"/>
    </row>
    <row r="79">
      <c r="A79" s="3" t="inlineStr">
        <is>
          <t>BE-033</t>
        </is>
      </c>
      <c r="B79" s="4" t="n">
        <v>5</v>
      </c>
      <c r="C79" s="3" t="inlineStr">
        <is>
          <t>Backend</t>
        </is>
      </c>
      <c r="D79" s="3" t="inlineStr">
        <is>
          <t>Criar serviço do CDC</t>
        </is>
      </c>
      <c r="E79" s="3" t="inlineStr">
        <is>
          <t>cdc_service.py</t>
        </is>
      </c>
      <c r="F79" s="3" t="inlineStr">
        <is>
          <t>BE-032</t>
        </is>
      </c>
      <c r="G79" s="4" t="inlineStr">
        <is>
          <t>Não iniciada</t>
        </is>
      </c>
      <c r="H79" s="3" t="inlineStr">
        <is>
          <t>Serviço monta alerta de alto custo e interpretação</t>
        </is>
      </c>
      <c r="I79" s="3" t="inlineStr">
        <is>
          <t>Backend</t>
        </is>
      </c>
      <c r="J79" s="7" t="inlineStr">
        <is>
          <t>Alta</t>
        </is>
      </c>
      <c r="K79" s="8" t="inlineStr"/>
      <c r="L79" s="8" t="inlineStr"/>
      <c r="M79" s="3" t="inlineStr"/>
    </row>
    <row r="80">
      <c r="A80" s="3" t="inlineStr">
        <is>
          <t>BE-034</t>
        </is>
      </c>
      <c r="B80" s="4" t="n">
        <v>5</v>
      </c>
      <c r="C80" s="3" t="inlineStr">
        <is>
          <t>Backend</t>
        </is>
      </c>
      <c r="D80" s="3" t="inlineStr">
        <is>
          <t>Criar endpoint do CDC</t>
        </is>
      </c>
      <c r="E80" s="3" t="inlineStr">
        <is>
          <t>backend/app/api/routes/cdc.py</t>
        </is>
      </c>
      <c r="F80" s="3" t="inlineStr">
        <is>
          <t>BE-033</t>
        </is>
      </c>
      <c r="G80" s="4" t="inlineStr">
        <is>
          <t>Não iniciada</t>
        </is>
      </c>
      <c r="H80" s="3" t="inlineStr">
        <is>
          <t>POST /api/v1/loan/cdc funcional</t>
        </is>
      </c>
      <c r="I80" s="3" t="inlineStr">
        <is>
          <t>Backend</t>
        </is>
      </c>
      <c r="J80" s="7" t="inlineStr">
        <is>
          <t>Alta</t>
        </is>
      </c>
      <c r="K80" s="8" t="inlineStr"/>
      <c r="L80" s="8" t="inlineStr"/>
      <c r="M80" s="3" t="inlineStr"/>
    </row>
    <row r="81">
      <c r="A81" s="3" t="inlineStr">
        <is>
          <t>FE-028</t>
        </is>
      </c>
      <c r="B81" s="4" t="n">
        <v>5</v>
      </c>
      <c r="C81" s="3" t="inlineStr">
        <is>
          <t>Frontend</t>
        </is>
      </c>
      <c r="D81" s="3" t="inlineStr">
        <is>
          <t>Criar página do CDC</t>
        </is>
      </c>
      <c r="E81" s="3" t="inlineStr">
        <is>
          <t>frontend/src/app/credito-pessoal/page.tsx</t>
        </is>
      </c>
      <c r="F81" s="3" t="inlineStr">
        <is>
          <t>FE-007</t>
        </is>
      </c>
      <c r="G81" s="4" t="inlineStr">
        <is>
          <t>Não iniciada</t>
        </is>
      </c>
      <c r="H81" s="3" t="inlineStr">
        <is>
          <t>Página criada</t>
        </is>
      </c>
      <c r="I81" s="3" t="inlineStr">
        <is>
          <t>Frontend</t>
        </is>
      </c>
      <c r="J81" s="7" t="inlineStr">
        <is>
          <t>Alta</t>
        </is>
      </c>
      <c r="K81" s="8" t="inlineStr"/>
      <c r="L81" s="8" t="inlineStr"/>
      <c r="M81" s="3" t="inlineStr"/>
    </row>
    <row r="82">
      <c r="A82" s="3" t="inlineStr">
        <is>
          <t>FE-029</t>
        </is>
      </c>
      <c r="B82" s="4" t="n">
        <v>5</v>
      </c>
      <c r="C82" s="3" t="inlineStr">
        <is>
          <t>Frontend</t>
        </is>
      </c>
      <c r="D82" s="3" t="inlineStr">
        <is>
          <t>Criar formulário do CDC</t>
        </is>
      </c>
      <c r="E82" s="3" t="inlineStr">
        <is>
          <t>CdcForm.tsx</t>
        </is>
      </c>
      <c r="F82" s="3" t="inlineStr">
        <is>
          <t>FE-028</t>
        </is>
      </c>
      <c r="G82" s="4" t="inlineStr">
        <is>
          <t>Não iniciada</t>
        </is>
      </c>
      <c r="H82" s="3" t="inlineStr">
        <is>
          <t>Formulário funcional</t>
        </is>
      </c>
      <c r="I82" s="3" t="inlineStr">
        <is>
          <t>Frontend</t>
        </is>
      </c>
      <c r="J82" s="7" t="inlineStr">
        <is>
          <t>Alta</t>
        </is>
      </c>
      <c r="K82" s="8" t="inlineStr"/>
      <c r="L82" s="8" t="inlineStr"/>
      <c r="M82" s="3" t="inlineStr"/>
    </row>
    <row r="83">
      <c r="A83" s="3" t="inlineStr">
        <is>
          <t>FE-030</t>
        </is>
      </c>
      <c r="B83" s="4" t="n">
        <v>5</v>
      </c>
      <c r="C83" s="3" t="inlineStr">
        <is>
          <t>Frontend</t>
        </is>
      </c>
      <c r="D83" s="3" t="inlineStr">
        <is>
          <t>Criar visualização do CDC</t>
        </is>
      </c>
      <c r="E83" s="3" t="inlineStr">
        <is>
          <t>componentes do módulo</t>
        </is>
      </c>
      <c r="F83" s="3" t="inlineStr">
        <is>
          <t>FE-029, BE-034</t>
        </is>
      </c>
      <c r="G83" s="4" t="inlineStr">
        <is>
          <t>Não iniciada</t>
        </is>
      </c>
      <c r="H83" s="3" t="inlineStr">
        <is>
          <t>Resultado com CET e alerta exibidos</t>
        </is>
      </c>
      <c r="I83" s="3" t="inlineStr">
        <is>
          <t>Frontend</t>
        </is>
      </c>
      <c r="J83" s="7" t="inlineStr">
        <is>
          <t>Alta</t>
        </is>
      </c>
      <c r="K83" s="8" t="inlineStr"/>
      <c r="L83" s="8" t="inlineStr"/>
      <c r="M83" s="3" t="inlineStr"/>
    </row>
    <row r="84">
      <c r="A84" s="3" t="inlineStr">
        <is>
          <t>QA-012</t>
        </is>
      </c>
      <c r="B84" s="4" t="n">
        <v>5</v>
      </c>
      <c r="C84" s="3" t="inlineStr">
        <is>
          <t>Testes</t>
        </is>
      </c>
      <c r="D84" s="3" t="inlineStr">
        <is>
          <t>Testes dos três módulos no backend</t>
        </is>
      </c>
      <c r="E84" s="3" t="inlineStr">
        <is>
          <t>veículo, consignado e CDC</t>
        </is>
      </c>
      <c r="F84" s="3" t="inlineStr">
        <is>
          <t>BE-026, BE-030, BE-034</t>
        </is>
      </c>
      <c r="G84" s="4" t="inlineStr">
        <is>
          <t>Não iniciada</t>
        </is>
      </c>
      <c r="H84" s="3" t="inlineStr">
        <is>
          <t>Três módulos protegidos por testes essenciais</t>
        </is>
      </c>
      <c r="I84" s="3" t="inlineStr">
        <is>
          <t>QA / Backend</t>
        </is>
      </c>
      <c r="J84" s="7" t="inlineStr">
        <is>
          <t>Alta</t>
        </is>
      </c>
      <c r="K84" s="8" t="inlineStr"/>
      <c r="L84" s="8" t="inlineStr"/>
      <c r="M84" s="3" t="inlineStr"/>
    </row>
    <row r="85">
      <c r="A85" s="3" t="inlineStr">
        <is>
          <t>QA-013</t>
        </is>
      </c>
      <c r="B85" s="4" t="n">
        <v>5</v>
      </c>
      <c r="C85" s="3" t="inlineStr">
        <is>
          <t>Testes</t>
        </is>
      </c>
      <c r="D85" s="3" t="inlineStr">
        <is>
          <t>Testes frontend dos três módulos</t>
        </is>
      </c>
      <c r="E85" s="3" t="inlineStr">
        <is>
          <t>páginas, formulários e resultados</t>
        </is>
      </c>
      <c r="F85" s="3" t="inlineStr">
        <is>
          <t>FE-024, FE-027, FE-030</t>
        </is>
      </c>
      <c r="G85" s="4" t="inlineStr">
        <is>
          <t>Não iniciada</t>
        </is>
      </c>
      <c r="H85" s="3" t="inlineStr">
        <is>
          <t>UI básica dos três módulos coberta</t>
        </is>
      </c>
      <c r="I85" s="3" t="inlineStr">
        <is>
          <t>QA / Frontend</t>
        </is>
      </c>
      <c r="J85" s="9" t="inlineStr">
        <is>
          <t>Média</t>
        </is>
      </c>
      <c r="K85" s="8" t="inlineStr"/>
      <c r="L85" s="8" t="inlineStr"/>
      <c r="M85" s="3" t="inlineStr"/>
    </row>
    <row r="86">
      <c r="A86" s="3" t="inlineStr">
        <is>
          <t>DOC-007</t>
        </is>
      </c>
      <c r="B86" s="4" t="n">
        <v>5</v>
      </c>
      <c r="C86" s="3" t="inlineStr">
        <is>
          <t>Documentação</t>
        </is>
      </c>
      <c r="D86" s="3" t="inlineStr">
        <is>
          <t>Documentar os três módulos</t>
        </is>
      </c>
      <c r="E86" s="3" t="inlineStr">
        <is>
          <t>docs/api-contract.md; docs/user-guide.md</t>
        </is>
      </c>
      <c r="F86" s="3" t="inlineStr">
        <is>
          <t>BE-034, FE-030</t>
        </is>
      </c>
      <c r="G86" s="4" t="inlineStr">
        <is>
          <t>Não iniciada</t>
        </is>
      </c>
      <c r="H86" s="3" t="inlineStr">
        <is>
          <t>Uso e endpoints documentados</t>
        </is>
      </c>
      <c r="I86" s="3" t="inlineStr">
        <is>
          <t>Documentação</t>
        </is>
      </c>
      <c r="J86" s="9" t="inlineStr">
        <is>
          <t>Média</t>
        </is>
      </c>
      <c r="K86" s="8" t="inlineStr"/>
      <c r="L86" s="8" t="inlineStr"/>
      <c r="M86" s="3" t="inlineStr"/>
    </row>
    <row r="87">
      <c r="A87" s="3" t="inlineStr">
        <is>
          <t>BE-035</t>
        </is>
      </c>
      <c r="B87" s="4" t="n">
        <v>6</v>
      </c>
      <c r="C87" s="3" t="inlineStr">
        <is>
          <t>Backend</t>
        </is>
      </c>
      <c r="D87" s="3" t="inlineStr">
        <is>
          <t>Criar schema do Rotativo</t>
        </is>
      </c>
      <c r="E87" s="3" t="inlineStr">
        <is>
          <t>revolving_credit.py</t>
        </is>
      </c>
      <c r="F87" s="3" t="inlineStr">
        <is>
          <t>BE-003</t>
        </is>
      </c>
      <c r="G87" s="4" t="inlineStr">
        <is>
          <t>Não iniciada</t>
        </is>
      </c>
      <c r="H87" s="3" t="inlineStr">
        <is>
          <t>Contrato do módulo definido</t>
        </is>
      </c>
      <c r="I87" s="3" t="inlineStr">
        <is>
          <t>Backend</t>
        </is>
      </c>
      <c r="J87" s="7" t="inlineStr">
        <is>
          <t>Alta</t>
        </is>
      </c>
      <c r="K87" s="8" t="inlineStr"/>
      <c r="L87" s="8" t="inlineStr"/>
      <c r="M87" s="3" t="inlineStr"/>
    </row>
    <row r="88">
      <c r="A88" s="3" t="inlineStr">
        <is>
          <t>BE-036</t>
        </is>
      </c>
      <c r="B88" s="4" t="n">
        <v>6</v>
      </c>
      <c r="C88" s="3" t="inlineStr">
        <is>
          <t>Backend</t>
        </is>
      </c>
      <c r="D88" s="3" t="inlineStr">
        <is>
          <t>Implementar domínio do Rotativo</t>
        </is>
      </c>
      <c r="E88" s="3" t="inlineStr">
        <is>
          <t>backend/app/domain/credit_card/revolving.py</t>
        </is>
      </c>
      <c r="F88" s="3" t="inlineStr">
        <is>
          <t>BE-035</t>
        </is>
      </c>
      <c r="G88" s="4" t="inlineStr">
        <is>
          <t>Não iniciada</t>
        </is>
      </c>
      <c r="H88" s="3" t="inlineStr">
        <is>
          <t>Saldo remanescente e projeções calculados corretamente</t>
        </is>
      </c>
      <c r="I88" s="3" t="inlineStr">
        <is>
          <t>Backend</t>
        </is>
      </c>
      <c r="J88" s="7" t="inlineStr">
        <is>
          <t>Alta</t>
        </is>
      </c>
      <c r="K88" s="8" t="inlineStr"/>
      <c r="L88" s="8" t="inlineStr"/>
      <c r="M88" s="3" t="inlineStr"/>
    </row>
    <row r="89">
      <c r="A89" s="3" t="inlineStr">
        <is>
          <t>BE-037</t>
        </is>
      </c>
      <c r="B89" s="4" t="n">
        <v>6</v>
      </c>
      <c r="C89" s="3" t="inlineStr">
        <is>
          <t>Backend</t>
        </is>
      </c>
      <c r="D89" s="3" t="inlineStr">
        <is>
          <t>Criar serviço do Rotativo</t>
        </is>
      </c>
      <c r="E89" s="3" t="inlineStr">
        <is>
          <t>revolving_credit_service.py</t>
        </is>
      </c>
      <c r="F89" s="3" t="inlineStr">
        <is>
          <t>BE-036</t>
        </is>
      </c>
      <c r="G89" s="4" t="inlineStr">
        <is>
          <t>Não iniciada</t>
        </is>
      </c>
      <c r="H89" s="3" t="inlineStr">
        <is>
          <t>Serviço monta cenários comparativos e alertas</t>
        </is>
      </c>
      <c r="I89" s="3" t="inlineStr">
        <is>
          <t>Backend</t>
        </is>
      </c>
      <c r="J89" s="7" t="inlineStr">
        <is>
          <t>Alta</t>
        </is>
      </c>
      <c r="K89" s="8" t="inlineStr"/>
      <c r="L89" s="8" t="inlineStr"/>
      <c r="M89" s="3" t="inlineStr"/>
    </row>
    <row r="90">
      <c r="A90" s="3" t="inlineStr">
        <is>
          <t>BE-038</t>
        </is>
      </c>
      <c r="B90" s="4" t="n">
        <v>6</v>
      </c>
      <c r="C90" s="3" t="inlineStr">
        <is>
          <t>Backend</t>
        </is>
      </c>
      <c r="D90" s="3" t="inlineStr">
        <is>
          <t>Criar endpoint do Rotativo</t>
        </is>
      </c>
      <c r="E90" s="3" t="inlineStr">
        <is>
          <t>backend/app/api/routes/revolving_credit.py</t>
        </is>
      </c>
      <c r="F90" s="3" t="inlineStr">
        <is>
          <t>BE-037</t>
        </is>
      </c>
      <c r="G90" s="4" t="inlineStr">
        <is>
          <t>Não iniciada</t>
        </is>
      </c>
      <c r="H90" s="3" t="inlineStr">
        <is>
          <t>POST /api/v1/credit-card/revolving funcional</t>
        </is>
      </c>
      <c r="I90" s="3" t="inlineStr">
        <is>
          <t>Backend</t>
        </is>
      </c>
      <c r="J90" s="7" t="inlineStr">
        <is>
          <t>Alta</t>
        </is>
      </c>
      <c r="K90" s="8" t="inlineStr"/>
      <c r="L90" s="8" t="inlineStr"/>
      <c r="M90" s="3" t="inlineStr"/>
    </row>
    <row r="91">
      <c r="A91" s="3" t="inlineStr">
        <is>
          <t>FE-031</t>
        </is>
      </c>
      <c r="B91" s="4" t="n">
        <v>6</v>
      </c>
      <c r="C91" s="3" t="inlineStr">
        <is>
          <t>Frontend</t>
        </is>
      </c>
      <c r="D91" s="3" t="inlineStr">
        <is>
          <t>Criar página do Rotativo</t>
        </is>
      </c>
      <c r="E91" s="3" t="inlineStr">
        <is>
          <t>frontend/src/app/cartao-rotativo/page.tsx</t>
        </is>
      </c>
      <c r="F91" s="3" t="inlineStr">
        <is>
          <t>FE-007</t>
        </is>
      </c>
      <c r="G91" s="4" t="inlineStr">
        <is>
          <t>Não iniciada</t>
        </is>
      </c>
      <c r="H91" s="3" t="inlineStr">
        <is>
          <t>Página criada</t>
        </is>
      </c>
      <c r="I91" s="3" t="inlineStr">
        <is>
          <t>Frontend</t>
        </is>
      </c>
      <c r="J91" s="7" t="inlineStr">
        <is>
          <t>Alta</t>
        </is>
      </c>
      <c r="K91" s="8" t="inlineStr"/>
      <c r="L91" s="8" t="inlineStr"/>
      <c r="M91" s="3" t="inlineStr"/>
    </row>
    <row r="92">
      <c r="A92" s="3" t="inlineStr">
        <is>
          <t>FE-032</t>
        </is>
      </c>
      <c r="B92" s="4" t="n">
        <v>6</v>
      </c>
      <c r="C92" s="3" t="inlineStr">
        <is>
          <t>Frontend</t>
        </is>
      </c>
      <c r="D92" s="3" t="inlineStr">
        <is>
          <t>Criar formulário do Rotativo</t>
        </is>
      </c>
      <c r="E92" s="3" t="inlineStr">
        <is>
          <t>RevolvingCreditForm.tsx</t>
        </is>
      </c>
      <c r="F92" s="3" t="inlineStr">
        <is>
          <t>FE-031</t>
        </is>
      </c>
      <c r="G92" s="4" t="inlineStr">
        <is>
          <t>Não iniciada</t>
        </is>
      </c>
      <c r="H92" s="3" t="inlineStr">
        <is>
          <t>Formulário funcional</t>
        </is>
      </c>
      <c r="I92" s="3" t="inlineStr">
        <is>
          <t>Frontend</t>
        </is>
      </c>
      <c r="J92" s="7" t="inlineStr">
        <is>
          <t>Alta</t>
        </is>
      </c>
      <c r="K92" s="8" t="inlineStr"/>
      <c r="L92" s="8" t="inlineStr"/>
      <c r="M92" s="3" t="inlineStr"/>
    </row>
    <row r="93">
      <c r="A93" s="3" t="inlineStr">
        <is>
          <t>FE-033</t>
        </is>
      </c>
      <c r="B93" s="4" t="n">
        <v>6</v>
      </c>
      <c r="C93" s="3" t="inlineStr">
        <is>
          <t>Frontend</t>
        </is>
      </c>
      <c r="D93" s="3" t="inlineStr">
        <is>
          <t>Criar visualização do Rotativo</t>
        </is>
      </c>
      <c r="E93" s="3" t="inlineStr">
        <is>
          <t>componentes do módulo</t>
        </is>
      </c>
      <c r="F93" s="3" t="inlineStr">
        <is>
          <t>FE-032, BE-038</t>
        </is>
      </c>
      <c r="G93" s="4" t="inlineStr">
        <is>
          <t>Não iniciada</t>
        </is>
      </c>
      <c r="H93" s="3" t="inlineStr">
        <is>
          <t>Cenários e alertas exibidos</t>
        </is>
      </c>
      <c r="I93" s="3" t="inlineStr">
        <is>
          <t>Frontend</t>
        </is>
      </c>
      <c r="J93" s="7" t="inlineStr">
        <is>
          <t>Alta</t>
        </is>
      </c>
      <c r="K93" s="8" t="inlineStr"/>
      <c r="L93" s="8" t="inlineStr"/>
      <c r="M93" s="3" t="inlineStr"/>
    </row>
    <row r="94">
      <c r="A94" s="3" t="inlineStr">
        <is>
          <t>BE-039</t>
        </is>
      </c>
      <c r="B94" s="4" t="n">
        <v>6</v>
      </c>
      <c r="C94" s="3" t="inlineStr">
        <is>
          <t>Backend</t>
        </is>
      </c>
      <c r="D94" s="3" t="inlineStr">
        <is>
          <t>Criar schema de Parcela em Atraso</t>
        </is>
      </c>
      <c r="E94" s="3" t="inlineStr">
        <is>
          <t>late_payment.py</t>
        </is>
      </c>
      <c r="F94" s="3" t="inlineStr">
        <is>
          <t>BE-003</t>
        </is>
      </c>
      <c r="G94" s="4" t="inlineStr">
        <is>
          <t>Não iniciada</t>
        </is>
      </c>
      <c r="H94" s="3" t="inlineStr">
        <is>
          <t>Contrato do módulo definido</t>
        </is>
      </c>
      <c r="I94" s="3" t="inlineStr">
        <is>
          <t>Backend</t>
        </is>
      </c>
      <c r="J94" s="7" t="inlineStr">
        <is>
          <t>Alta</t>
        </is>
      </c>
      <c r="K94" s="8" t="inlineStr"/>
      <c r="L94" s="8" t="inlineStr"/>
      <c r="M94" s="3" t="inlineStr"/>
    </row>
    <row r="95">
      <c r="A95" s="3" t="inlineStr">
        <is>
          <t>BE-040</t>
        </is>
      </c>
      <c r="B95" s="4" t="n">
        <v>6</v>
      </c>
      <c r="C95" s="3" t="inlineStr">
        <is>
          <t>Backend</t>
        </is>
      </c>
      <c r="D95" s="3" t="inlineStr">
        <is>
          <t>Implementar domínio de Parcela em Atraso</t>
        </is>
      </c>
      <c r="E95" s="3" t="inlineStr">
        <is>
          <t>backend/app/domain/late_payment/calculator.py</t>
        </is>
      </c>
      <c r="F95" s="3" t="inlineStr">
        <is>
          <t>BE-039</t>
        </is>
      </c>
      <c r="G95" s="4" t="inlineStr">
        <is>
          <t>Não iniciada</t>
        </is>
      </c>
      <c r="H95" s="3" t="inlineStr">
        <is>
          <t>Multa, mora, correção e memória calculadas corretamente</t>
        </is>
      </c>
      <c r="I95" s="3" t="inlineStr">
        <is>
          <t>Backend</t>
        </is>
      </c>
      <c r="J95" s="7" t="inlineStr">
        <is>
          <t>Alta</t>
        </is>
      </c>
      <c r="K95" s="8" t="inlineStr"/>
      <c r="L95" s="8" t="inlineStr"/>
      <c r="M95" s="3" t="inlineStr"/>
    </row>
    <row r="96">
      <c r="A96" s="3" t="inlineStr">
        <is>
          <t>BE-041</t>
        </is>
      </c>
      <c r="B96" s="4" t="n">
        <v>6</v>
      </c>
      <c r="C96" s="3" t="inlineStr">
        <is>
          <t>Backend</t>
        </is>
      </c>
      <c r="D96" s="3" t="inlineStr">
        <is>
          <t>Criar serviço de Parcela em Atraso</t>
        </is>
      </c>
      <c r="E96" s="3" t="inlineStr">
        <is>
          <t>late_payment_service.py</t>
        </is>
      </c>
      <c r="F96" s="3" t="inlineStr">
        <is>
          <t>BE-040</t>
        </is>
      </c>
      <c r="G96" s="4" t="inlineStr">
        <is>
          <t>Não iniciada</t>
        </is>
      </c>
      <c r="H96" s="3" t="inlineStr">
        <is>
          <t>Serviço gera tabela de atraso padrão e interpretação</t>
        </is>
      </c>
      <c r="I96" s="3" t="inlineStr">
        <is>
          <t>Backend</t>
        </is>
      </c>
      <c r="J96" s="7" t="inlineStr">
        <is>
          <t>Alta</t>
        </is>
      </c>
      <c r="K96" s="8" t="inlineStr"/>
      <c r="L96" s="8" t="inlineStr"/>
      <c r="M96" s="3" t="inlineStr"/>
    </row>
    <row r="97">
      <c r="A97" s="3" t="inlineStr">
        <is>
          <t>BE-042</t>
        </is>
      </c>
      <c r="B97" s="4" t="n">
        <v>6</v>
      </c>
      <c r="C97" s="3" t="inlineStr">
        <is>
          <t>Backend</t>
        </is>
      </c>
      <c r="D97" s="3" t="inlineStr">
        <is>
          <t>Criar endpoint de Parcela em Atraso</t>
        </is>
      </c>
      <c r="E97" s="3" t="inlineStr">
        <is>
          <t>backend/app/api/routes/late_payment.py</t>
        </is>
      </c>
      <c r="F97" s="3" t="inlineStr">
        <is>
          <t>BE-041</t>
        </is>
      </c>
      <c r="G97" s="4" t="inlineStr">
        <is>
          <t>Não iniciada</t>
        </is>
      </c>
      <c r="H97" s="3" t="inlineStr">
        <is>
          <t>POST /api/v1/late-payment funcional</t>
        </is>
      </c>
      <c r="I97" s="3" t="inlineStr">
        <is>
          <t>Backend</t>
        </is>
      </c>
      <c r="J97" s="7" t="inlineStr">
        <is>
          <t>Alta</t>
        </is>
      </c>
      <c r="K97" s="8" t="inlineStr"/>
      <c r="L97" s="8" t="inlineStr"/>
      <c r="M97" s="3" t="inlineStr"/>
    </row>
    <row r="98">
      <c r="A98" s="3" t="inlineStr">
        <is>
          <t>FE-034</t>
        </is>
      </c>
      <c r="B98" s="4" t="n">
        <v>6</v>
      </c>
      <c r="C98" s="3" t="inlineStr">
        <is>
          <t>Frontend</t>
        </is>
      </c>
      <c r="D98" s="3" t="inlineStr">
        <is>
          <t>Criar página de Parcela em Atraso</t>
        </is>
      </c>
      <c r="E98" s="3" t="inlineStr">
        <is>
          <t>frontend/src/app/parcela-atraso/page.tsx</t>
        </is>
      </c>
      <c r="F98" s="3" t="inlineStr">
        <is>
          <t>FE-007</t>
        </is>
      </c>
      <c r="G98" s="4" t="inlineStr">
        <is>
          <t>Não iniciada</t>
        </is>
      </c>
      <c r="H98" s="3" t="inlineStr">
        <is>
          <t>Página criada</t>
        </is>
      </c>
      <c r="I98" s="3" t="inlineStr">
        <is>
          <t>Frontend</t>
        </is>
      </c>
      <c r="J98" s="7" t="inlineStr">
        <is>
          <t>Alta</t>
        </is>
      </c>
      <c r="K98" s="8" t="inlineStr"/>
      <c r="L98" s="8" t="inlineStr"/>
      <c r="M98" s="3" t="inlineStr"/>
    </row>
    <row r="99">
      <c r="A99" s="3" t="inlineStr">
        <is>
          <t>FE-035</t>
        </is>
      </c>
      <c r="B99" s="4" t="n">
        <v>6</v>
      </c>
      <c r="C99" s="3" t="inlineStr">
        <is>
          <t>Frontend</t>
        </is>
      </c>
      <c r="D99" s="3" t="inlineStr">
        <is>
          <t>Criar formulário de Parcela em Atraso</t>
        </is>
      </c>
      <c r="E99" s="3" t="inlineStr">
        <is>
          <t>LatePaymentForm.tsx</t>
        </is>
      </c>
      <c r="F99" s="3" t="inlineStr">
        <is>
          <t>FE-034</t>
        </is>
      </c>
      <c r="G99" s="4" t="inlineStr">
        <is>
          <t>Não iniciada</t>
        </is>
      </c>
      <c r="H99" s="3" t="inlineStr">
        <is>
          <t>Formulário funcional</t>
        </is>
      </c>
      <c r="I99" s="3" t="inlineStr">
        <is>
          <t>Frontend</t>
        </is>
      </c>
      <c r="J99" s="7" t="inlineStr">
        <is>
          <t>Alta</t>
        </is>
      </c>
      <c r="K99" s="8" t="inlineStr"/>
      <c r="L99" s="8" t="inlineStr"/>
      <c r="M99" s="3" t="inlineStr"/>
    </row>
    <row r="100">
      <c r="A100" s="3" t="inlineStr">
        <is>
          <t>FE-036</t>
        </is>
      </c>
      <c r="B100" s="4" t="n">
        <v>6</v>
      </c>
      <c r="C100" s="3" t="inlineStr">
        <is>
          <t>Frontend</t>
        </is>
      </c>
      <c r="D100" s="3" t="inlineStr">
        <is>
          <t>Criar visualização de Parcela em Atraso</t>
        </is>
      </c>
      <c r="E100" s="3" t="inlineStr">
        <is>
          <t>componentes do módulo</t>
        </is>
      </c>
      <c r="F100" s="3" t="inlineStr">
        <is>
          <t>FE-035, BE-042</t>
        </is>
      </c>
      <c r="G100" s="4" t="inlineStr">
        <is>
          <t>Não iniciada</t>
        </is>
      </c>
      <c r="H100" s="3" t="inlineStr">
        <is>
          <t>Resultado completo exibido</t>
        </is>
      </c>
      <c r="I100" s="3" t="inlineStr">
        <is>
          <t>Frontend</t>
        </is>
      </c>
      <c r="J100" s="7" t="inlineStr">
        <is>
          <t>Alta</t>
        </is>
      </c>
      <c r="K100" s="8" t="inlineStr"/>
      <c r="L100" s="8" t="inlineStr"/>
      <c r="M100" s="3" t="inlineStr"/>
    </row>
    <row r="101">
      <c r="A101" s="3" t="inlineStr">
        <is>
          <t>BE-043</t>
        </is>
      </c>
      <c r="B101" s="4" t="n">
        <v>6</v>
      </c>
      <c r="C101" s="3" t="inlineStr">
        <is>
          <t>Backend</t>
        </is>
      </c>
      <c r="D101" s="3" t="inlineStr">
        <is>
          <t>Criar catálogo inicial de indicadores</t>
        </is>
      </c>
      <c r="E101" s="3" t="inlineStr">
        <is>
          <t>backend/app/domain/indicators/catalog.py</t>
        </is>
      </c>
      <c r="F101" s="3" t="inlineStr">
        <is>
          <t>BE-003</t>
        </is>
      </c>
      <c r="G101" s="4" t="inlineStr">
        <is>
          <t>Não iniciada</t>
        </is>
      </c>
      <c r="H101" s="3" t="inlineStr">
        <is>
          <t>Indicadores iniciais estruturados</t>
        </is>
      </c>
      <c r="I101" s="3" t="inlineStr">
        <is>
          <t>Backend</t>
        </is>
      </c>
      <c r="J101" s="9" t="inlineStr">
        <is>
          <t>Média</t>
        </is>
      </c>
      <c r="K101" s="8" t="inlineStr"/>
      <c r="L101" s="8" t="inlineStr"/>
      <c r="M101" s="3" t="inlineStr"/>
    </row>
    <row r="102">
      <c r="A102" s="3" t="inlineStr">
        <is>
          <t>BE-044</t>
        </is>
      </c>
      <c r="B102" s="4" t="n">
        <v>6</v>
      </c>
      <c r="C102" s="3" t="inlineStr">
        <is>
          <t>Backend</t>
        </is>
      </c>
      <c r="D102" s="3" t="inlineStr">
        <is>
          <t>Criar serviço de indicadores</t>
        </is>
      </c>
      <c r="E102" s="3" t="inlineStr">
        <is>
          <t>indicator_service.py</t>
        </is>
      </c>
      <c r="F102" s="3" t="inlineStr">
        <is>
          <t>BE-043</t>
        </is>
      </c>
      <c r="G102" s="4" t="inlineStr">
        <is>
          <t>Não iniciada</t>
        </is>
      </c>
      <c r="H102" s="3" t="inlineStr">
        <is>
          <t>Serviço lista e detalha indicadores</t>
        </is>
      </c>
      <c r="I102" s="3" t="inlineStr">
        <is>
          <t>Backend</t>
        </is>
      </c>
      <c r="J102" s="9" t="inlineStr">
        <is>
          <t>Média</t>
        </is>
      </c>
      <c r="K102" s="8" t="inlineStr"/>
      <c r="L102" s="8" t="inlineStr"/>
      <c r="M102" s="3" t="inlineStr"/>
    </row>
    <row r="103">
      <c r="A103" s="3" t="inlineStr">
        <is>
          <t>BE-045</t>
        </is>
      </c>
      <c r="B103" s="4" t="n">
        <v>6</v>
      </c>
      <c r="C103" s="3" t="inlineStr">
        <is>
          <t>Backend</t>
        </is>
      </c>
      <c r="D103" s="3" t="inlineStr">
        <is>
          <t>Criar rotas de indicadores</t>
        </is>
      </c>
      <c r="E103" s="3" t="inlineStr">
        <is>
          <t>backend/app/api/routes/indicators.py</t>
        </is>
      </c>
      <c r="F103" s="3" t="inlineStr">
        <is>
          <t>BE-044</t>
        </is>
      </c>
      <c r="G103" s="4" t="inlineStr">
        <is>
          <t>Não iniciada</t>
        </is>
      </c>
      <c r="H103" s="3" t="inlineStr">
        <is>
          <t>GET /api/v1/indicators e detalhe funcionais</t>
        </is>
      </c>
      <c r="I103" s="3" t="inlineStr">
        <is>
          <t>Backend</t>
        </is>
      </c>
      <c r="J103" s="9" t="inlineStr">
        <is>
          <t>Média</t>
        </is>
      </c>
      <c r="K103" s="8" t="inlineStr"/>
      <c r="L103" s="8" t="inlineStr"/>
      <c r="M103" s="3" t="inlineStr"/>
    </row>
    <row r="104">
      <c r="A104" s="3" t="inlineStr">
        <is>
          <t>FE-037</t>
        </is>
      </c>
      <c r="B104" s="4" t="n">
        <v>6</v>
      </c>
      <c r="C104" s="3" t="inlineStr">
        <is>
          <t>Frontend</t>
        </is>
      </c>
      <c r="D104" s="3" t="inlineStr">
        <is>
          <t>Criar página de Indicadores</t>
        </is>
      </c>
      <c r="E104" s="3" t="inlineStr">
        <is>
          <t>frontend/src/app/indicadores/page.tsx</t>
        </is>
      </c>
      <c r="F104" s="3" t="inlineStr">
        <is>
          <t>FE-007</t>
        </is>
      </c>
      <c r="G104" s="4" t="inlineStr">
        <is>
          <t>Não iniciada</t>
        </is>
      </c>
      <c r="H104" s="3" t="inlineStr">
        <is>
          <t>Página criada</t>
        </is>
      </c>
      <c r="I104" s="3" t="inlineStr">
        <is>
          <t>Frontend</t>
        </is>
      </c>
      <c r="J104" s="9" t="inlineStr">
        <is>
          <t>Média</t>
        </is>
      </c>
      <c r="K104" s="8" t="inlineStr"/>
      <c r="L104" s="8" t="inlineStr"/>
      <c r="M104" s="3" t="inlineStr"/>
    </row>
    <row r="105">
      <c r="A105" s="3" t="inlineStr">
        <is>
          <t>FE-038</t>
        </is>
      </c>
      <c r="B105" s="4" t="n">
        <v>6</v>
      </c>
      <c r="C105" s="3" t="inlineStr">
        <is>
          <t>Frontend</t>
        </is>
      </c>
      <c r="D105" s="3" t="inlineStr">
        <is>
          <t>Criar lista de indicadores</t>
        </is>
      </c>
      <c r="E105" s="3" t="inlineStr">
        <is>
          <t>componentes do módulo</t>
        </is>
      </c>
      <c r="F105" s="3" t="inlineStr">
        <is>
          <t>FE-037, BE-045</t>
        </is>
      </c>
      <c r="G105" s="4" t="inlineStr">
        <is>
          <t>Não iniciada</t>
        </is>
      </c>
      <c r="H105" s="3" t="inlineStr">
        <is>
          <t>Lista funcional com navegação para detalhe</t>
        </is>
      </c>
      <c r="I105" s="3" t="inlineStr">
        <is>
          <t>Frontend</t>
        </is>
      </c>
      <c r="J105" s="9" t="inlineStr">
        <is>
          <t>Média</t>
        </is>
      </c>
      <c r="K105" s="8" t="inlineStr"/>
      <c r="L105" s="8" t="inlineStr"/>
      <c r="M105" s="3" t="inlineStr"/>
    </row>
    <row r="106">
      <c r="A106" s="3" t="inlineStr">
        <is>
          <t>FE-039</t>
        </is>
      </c>
      <c r="B106" s="4" t="n">
        <v>6</v>
      </c>
      <c r="C106" s="3" t="inlineStr">
        <is>
          <t>Frontend</t>
        </is>
      </c>
      <c r="D106" s="3" t="inlineStr">
        <is>
          <t>Criar detalhe de indicador</t>
        </is>
      </c>
      <c r="E106" s="3" t="inlineStr">
        <is>
          <t>componentes/página de detalhe</t>
        </is>
      </c>
      <c r="F106" s="3" t="inlineStr">
        <is>
          <t>FE-038, BE-045</t>
        </is>
      </c>
      <c r="G106" s="4" t="inlineStr">
        <is>
          <t>Não iniciada</t>
        </is>
      </c>
      <c r="H106" s="3" t="inlineStr">
        <is>
          <t>Detalhe educativo exibido</t>
        </is>
      </c>
      <c r="I106" s="3" t="inlineStr">
        <is>
          <t>Frontend</t>
        </is>
      </c>
      <c r="J106" s="9" t="inlineStr">
        <is>
          <t>Média</t>
        </is>
      </c>
      <c r="K106" s="8" t="inlineStr"/>
      <c r="L106" s="8" t="inlineStr"/>
      <c r="M106" s="3" t="inlineStr"/>
    </row>
    <row r="107">
      <c r="A107" s="3" t="inlineStr">
        <is>
          <t>QA-014</t>
        </is>
      </c>
      <c r="B107" s="4" t="n">
        <v>6</v>
      </c>
      <c r="C107" s="3" t="inlineStr">
        <is>
          <t>Testes</t>
        </is>
      </c>
      <c r="D107" s="3" t="inlineStr">
        <is>
          <t>Testes backend da sprint</t>
        </is>
      </c>
      <c r="E107" s="3" t="inlineStr">
        <is>
          <t>rotativo, atraso e indicadores</t>
        </is>
      </c>
      <c r="F107" s="3" t="inlineStr">
        <is>
          <t>BE-038, BE-042, BE-045</t>
        </is>
      </c>
      <c r="G107" s="4" t="inlineStr">
        <is>
          <t>Não iniciada</t>
        </is>
      </c>
      <c r="H107" s="3" t="inlineStr">
        <is>
          <t>Três blocos protegidos por testes essenciais</t>
        </is>
      </c>
      <c r="I107" s="3" t="inlineStr">
        <is>
          <t>QA / Backend</t>
        </is>
      </c>
      <c r="J107" s="7" t="inlineStr">
        <is>
          <t>Alta</t>
        </is>
      </c>
      <c r="K107" s="8" t="inlineStr"/>
      <c r="L107" s="8" t="inlineStr"/>
      <c r="M107" s="3" t="inlineStr"/>
    </row>
    <row r="108">
      <c r="A108" s="3" t="inlineStr">
        <is>
          <t>QA-015</t>
        </is>
      </c>
      <c r="B108" s="4" t="n">
        <v>6</v>
      </c>
      <c r="C108" s="3" t="inlineStr">
        <is>
          <t>Testes</t>
        </is>
      </c>
      <c r="D108" s="3" t="inlineStr">
        <is>
          <t>Testes frontend da sprint</t>
        </is>
      </c>
      <c r="E108" s="3" t="inlineStr">
        <is>
          <t>rotativo, atraso e indicadores</t>
        </is>
      </c>
      <c r="F108" s="3" t="inlineStr">
        <is>
          <t>FE-033, FE-036, FE-039</t>
        </is>
      </c>
      <c r="G108" s="4" t="inlineStr">
        <is>
          <t>Não iniciada</t>
        </is>
      </c>
      <c r="H108" s="3" t="inlineStr">
        <is>
          <t>UI da sprint coberta minimamente</t>
        </is>
      </c>
      <c r="I108" s="3" t="inlineStr">
        <is>
          <t>QA / Frontend</t>
        </is>
      </c>
      <c r="J108" s="9" t="inlineStr">
        <is>
          <t>Média</t>
        </is>
      </c>
      <c r="K108" s="8" t="inlineStr"/>
      <c r="L108" s="8" t="inlineStr"/>
      <c r="M108" s="3" t="inlineStr"/>
    </row>
    <row r="109">
      <c r="A109" s="3" t="inlineStr">
        <is>
          <t>DOC-008</t>
        </is>
      </c>
      <c r="B109" s="4" t="n">
        <v>6</v>
      </c>
      <c r="C109" s="3" t="inlineStr">
        <is>
          <t>Documentação</t>
        </is>
      </c>
      <c r="D109" s="3" t="inlineStr">
        <is>
          <t>Documentar rotativo, atraso e indicadores</t>
        </is>
      </c>
      <c r="E109" s="3" t="inlineStr">
        <is>
          <t>docs/api-contract.md; docs/user-guide.md; docs/formulas.md</t>
        </is>
      </c>
      <c r="F109" s="3" t="inlineStr">
        <is>
          <t>BE-045, FE-039</t>
        </is>
      </c>
      <c r="G109" s="4" t="inlineStr">
        <is>
          <t>Não iniciada</t>
        </is>
      </c>
      <c r="H109" s="3" t="inlineStr">
        <is>
          <t>Conteúdo e contratos documentados</t>
        </is>
      </c>
      <c r="I109" s="3" t="inlineStr">
        <is>
          <t>Documentação</t>
        </is>
      </c>
      <c r="J109" s="9" t="inlineStr">
        <is>
          <t>Média</t>
        </is>
      </c>
      <c r="K109" s="8" t="inlineStr"/>
      <c r="L109" s="8" t="inlineStr"/>
      <c r="M109" s="3" t="inlineStr"/>
    </row>
    <row r="110">
      <c r="A110" s="3" t="inlineStr">
        <is>
          <t>BE-046</t>
        </is>
      </c>
      <c r="B110" s="4" t="n">
        <v>7</v>
      </c>
      <c r="C110" s="3" t="inlineStr">
        <is>
          <t>Backend</t>
        </is>
      </c>
      <c r="D110" s="3" t="inlineStr">
        <is>
          <t>Estruturar conteúdo educacional inicial</t>
        </is>
      </c>
      <c r="E110" s="3" t="inlineStr">
        <is>
          <t>contents.py; education_service.py; education.py</t>
        </is>
      </c>
      <c r="F110" s="3" t="inlineStr">
        <is>
          <t>BE-003</t>
        </is>
      </c>
      <c r="G110" s="4" t="inlineStr">
        <is>
          <t>Não iniciada</t>
        </is>
      </c>
      <c r="H110" s="3" t="inlineStr">
        <is>
          <t>Conteúdos podem ser listados e recuperados</t>
        </is>
      </c>
      <c r="I110" s="3" t="inlineStr">
        <is>
          <t>Backend</t>
        </is>
      </c>
      <c r="J110" s="9" t="inlineStr">
        <is>
          <t>Média</t>
        </is>
      </c>
      <c r="K110" s="8" t="inlineStr"/>
      <c r="L110" s="8" t="inlineStr"/>
      <c r="M110" s="3" t="inlineStr"/>
    </row>
    <row r="111">
      <c r="A111" s="3" t="inlineStr">
        <is>
          <t>BE-047</t>
        </is>
      </c>
      <c r="B111" s="4" t="n">
        <v>7</v>
      </c>
      <c r="C111" s="3" t="inlineStr">
        <is>
          <t>Backend</t>
        </is>
      </c>
      <c r="D111" s="3" t="inlineStr">
        <is>
          <t>Estruturar glossário inicial</t>
        </is>
      </c>
      <c r="E111" s="3" t="inlineStr">
        <is>
          <t>estruturas de glossário</t>
        </is>
      </c>
      <c r="F111" s="3" t="inlineStr">
        <is>
          <t>BE-046</t>
        </is>
      </c>
      <c r="G111" s="4" t="inlineStr">
        <is>
          <t>Não iniciada</t>
        </is>
      </c>
      <c r="H111" s="3" t="inlineStr">
        <is>
          <t>Glossário disponível via API ou provider</t>
        </is>
      </c>
      <c r="I111" s="3" t="inlineStr">
        <is>
          <t>Backend</t>
        </is>
      </c>
      <c r="J111" s="9" t="inlineStr">
        <is>
          <t>Média</t>
        </is>
      </c>
      <c r="K111" s="8" t="inlineStr"/>
      <c r="L111" s="8" t="inlineStr"/>
      <c r="M111" s="3" t="inlineStr"/>
    </row>
    <row r="112">
      <c r="A112" s="3" t="inlineStr">
        <is>
          <t>BE-048</t>
        </is>
      </c>
      <c r="B112" s="4" t="n">
        <v>7</v>
      </c>
      <c r="C112" s="3" t="inlineStr">
        <is>
          <t>Backend</t>
        </is>
      </c>
      <c r="D112" s="3" t="inlineStr">
        <is>
          <t>Estruturar FAQ inicial</t>
        </is>
      </c>
      <c r="E112" s="3" t="inlineStr">
        <is>
          <t>estruturas de FAQ</t>
        </is>
      </c>
      <c r="F112" s="3" t="inlineStr">
        <is>
          <t>BE-046</t>
        </is>
      </c>
      <c r="G112" s="4" t="inlineStr">
        <is>
          <t>Não iniciada</t>
        </is>
      </c>
      <c r="H112" s="3" t="inlineStr">
        <is>
          <t>FAQ disponível via API ou provider</t>
        </is>
      </c>
      <c r="I112" s="3" t="inlineStr">
        <is>
          <t>Backend</t>
        </is>
      </c>
      <c r="J112" s="9" t="inlineStr">
        <is>
          <t>Média</t>
        </is>
      </c>
      <c r="K112" s="8" t="inlineStr"/>
      <c r="L112" s="8" t="inlineStr"/>
      <c r="M112" s="3" t="inlineStr"/>
    </row>
    <row r="113">
      <c r="A113" s="3" t="inlineStr">
        <is>
          <t>FE-040</t>
        </is>
      </c>
      <c r="B113" s="4" t="n">
        <v>7</v>
      </c>
      <c r="C113" s="3" t="inlineStr">
        <is>
          <t>Frontend</t>
        </is>
      </c>
      <c r="D113" s="3" t="inlineStr">
        <is>
          <t>Criar página do Glossário</t>
        </is>
      </c>
      <c r="E113" s="3" t="inlineStr">
        <is>
          <t>frontend/src/app/glossario/page.tsx</t>
        </is>
      </c>
      <c r="F113" s="3" t="inlineStr">
        <is>
          <t>FE-007, BE-047</t>
        </is>
      </c>
      <c r="G113" s="4" t="inlineStr">
        <is>
          <t>Não iniciada</t>
        </is>
      </c>
      <c r="H113" s="3" t="inlineStr">
        <is>
          <t>Glossário navegável</t>
        </is>
      </c>
      <c r="I113" s="3" t="inlineStr">
        <is>
          <t>Frontend</t>
        </is>
      </c>
      <c r="J113" s="9" t="inlineStr">
        <is>
          <t>Média</t>
        </is>
      </c>
      <c r="K113" s="8" t="inlineStr"/>
      <c r="L113" s="8" t="inlineStr"/>
      <c r="M113" s="3" t="inlineStr"/>
    </row>
    <row r="114">
      <c r="A114" s="3" t="inlineStr">
        <is>
          <t>FE-041</t>
        </is>
      </c>
      <c r="B114" s="4" t="n">
        <v>7</v>
      </c>
      <c r="C114" s="3" t="inlineStr">
        <is>
          <t>Frontend</t>
        </is>
      </c>
      <c r="D114" s="3" t="inlineStr">
        <is>
          <t>Criar página de FAQ</t>
        </is>
      </c>
      <c r="E114" s="3" t="inlineStr">
        <is>
          <t>frontend/src/app/faq/page.tsx</t>
        </is>
      </c>
      <c r="F114" s="3" t="inlineStr">
        <is>
          <t>FE-007, BE-048</t>
        </is>
      </c>
      <c r="G114" s="4" t="inlineStr">
        <is>
          <t>Não iniciada</t>
        </is>
      </c>
      <c r="H114" s="3" t="inlineStr">
        <is>
          <t>FAQ navegável</t>
        </is>
      </c>
      <c r="I114" s="3" t="inlineStr">
        <is>
          <t>Frontend</t>
        </is>
      </c>
      <c r="J114" s="9" t="inlineStr">
        <is>
          <t>Média</t>
        </is>
      </c>
      <c r="K114" s="8" t="inlineStr"/>
      <c r="L114" s="8" t="inlineStr"/>
      <c r="M114" s="3" t="inlineStr"/>
    </row>
    <row r="115">
      <c r="A115" s="3" t="inlineStr">
        <is>
          <t>FE-042</t>
        </is>
      </c>
      <c r="B115" s="4" t="n">
        <v>7</v>
      </c>
      <c r="C115" s="3" t="inlineStr">
        <is>
          <t>Frontend</t>
        </is>
      </c>
      <c r="D115" s="3" t="inlineStr">
        <is>
          <t>Integrar EducationPanel aos módulos</t>
        </is>
      </c>
      <c r="E115" s="3" t="inlineStr">
        <is>
          <t>módulos do MVP + EducationPanel.tsx</t>
        </is>
      </c>
      <c r="F115" s="3" t="inlineStr">
        <is>
          <t>FE-009, BE-046</t>
        </is>
      </c>
      <c r="G115" s="4" t="inlineStr">
        <is>
          <t>Não iniciada</t>
        </is>
      </c>
      <c r="H115" s="3" t="inlineStr">
        <is>
          <t>Módulos do MVP exibem bloco educativo contextual</t>
        </is>
      </c>
      <c r="I115" s="3" t="inlineStr">
        <is>
          <t>Frontend</t>
        </is>
      </c>
      <c r="J115" s="7" t="inlineStr">
        <is>
          <t>Alta</t>
        </is>
      </c>
      <c r="K115" s="8" t="inlineStr"/>
      <c r="L115" s="8" t="inlineStr"/>
      <c r="M115" s="3" t="inlineStr"/>
    </row>
    <row r="116">
      <c r="A116" s="3" t="inlineStr">
        <is>
          <t>FE-043</t>
        </is>
      </c>
      <c r="B116" s="4" t="n">
        <v>7</v>
      </c>
      <c r="C116" s="3" t="inlineStr">
        <is>
          <t>Frontend</t>
        </is>
      </c>
      <c r="D116" s="3" t="inlineStr">
        <is>
          <t>Criar links contextuais para termos e FAQs</t>
        </is>
      </c>
      <c r="E116" s="3" t="inlineStr">
        <is>
          <t>componentes de ajuda contextual</t>
        </is>
      </c>
      <c r="F116" s="3" t="inlineStr">
        <is>
          <t>FE-040, FE-041, FE-042</t>
        </is>
      </c>
      <c r="G116" s="4" t="inlineStr">
        <is>
          <t>Não iniciada</t>
        </is>
      </c>
      <c r="H116" s="3" t="inlineStr">
        <is>
          <t>Termos técnicos clicáveis ou acessíveis no contexto</t>
        </is>
      </c>
      <c r="I116" s="3" t="inlineStr">
        <is>
          <t>Frontend</t>
        </is>
      </c>
      <c r="J116" s="9" t="inlineStr">
        <is>
          <t>Média</t>
        </is>
      </c>
      <c r="K116" s="8" t="inlineStr"/>
      <c r="L116" s="8" t="inlineStr"/>
      <c r="M116" s="3" t="inlineStr"/>
    </row>
    <row r="117">
      <c r="A117" s="3" t="inlineStr">
        <is>
          <t>FE-044</t>
        </is>
      </c>
      <c r="B117" s="4" t="n">
        <v>7</v>
      </c>
      <c r="C117" s="3" t="inlineStr">
        <is>
          <t>Frontend</t>
        </is>
      </c>
      <c r="D117" s="3" t="inlineStr">
        <is>
          <t>Revisar microcopy dos módulos do MVP</t>
        </is>
      </c>
      <c r="E117" s="3" t="inlineStr">
        <is>
          <t>páginas e componentes dos módulos do MVP</t>
        </is>
      </c>
      <c r="F117" s="3" t="inlineStr">
        <is>
          <t>FE-042</t>
        </is>
      </c>
      <c r="G117" s="4" t="inlineStr">
        <is>
          <t>Não iniciada</t>
        </is>
      </c>
      <c r="H117" s="3" t="inlineStr">
        <is>
          <t>Linguagem consistente, clara e didática</t>
        </is>
      </c>
      <c r="I117" s="3" t="inlineStr">
        <is>
          <t>Frontend / Conteúdo</t>
        </is>
      </c>
      <c r="J117" s="7" t="inlineStr">
        <is>
          <t>Alta</t>
        </is>
      </c>
      <c r="K117" s="8" t="inlineStr"/>
      <c r="L117" s="8" t="inlineStr"/>
      <c r="M117" s="3" t="inlineStr"/>
    </row>
    <row r="118">
      <c r="A118" s="3" t="inlineStr">
        <is>
          <t>QA-016</t>
        </is>
      </c>
      <c r="B118" s="4" t="n">
        <v>7</v>
      </c>
      <c r="C118" s="3" t="inlineStr">
        <is>
          <t>Testes</t>
        </is>
      </c>
      <c r="D118" s="3" t="inlineStr">
        <is>
          <t>Testes do conteúdo educacional</t>
        </is>
      </c>
      <c r="E118" s="3" t="inlineStr">
        <is>
          <t>testes de listagem, detalhe e renderização</t>
        </is>
      </c>
      <c r="F118" s="3" t="inlineStr">
        <is>
          <t>BE-048, FE-044</t>
        </is>
      </c>
      <c r="G118" s="4" t="inlineStr">
        <is>
          <t>Não iniciada</t>
        </is>
      </c>
      <c r="H118" s="3" t="inlineStr">
        <is>
          <t>Conteúdo essencial acessível e coerente</t>
        </is>
      </c>
      <c r="I118" s="3" t="inlineStr">
        <is>
          <t>QA</t>
        </is>
      </c>
      <c r="J118" s="9" t="inlineStr">
        <is>
          <t>Média</t>
        </is>
      </c>
      <c r="K118" s="8" t="inlineStr"/>
      <c r="L118" s="8" t="inlineStr"/>
      <c r="M118" s="3" t="inlineStr"/>
    </row>
    <row r="119">
      <c r="A119" s="3" t="inlineStr">
        <is>
          <t>QA-017</t>
        </is>
      </c>
      <c r="B119" s="4" t="n">
        <v>7</v>
      </c>
      <c r="C119" s="3" t="inlineStr">
        <is>
          <t>Testes</t>
        </is>
      </c>
      <c r="D119" s="3" t="inlineStr">
        <is>
          <t>Testes de navegação entre módulos e educação</t>
        </is>
      </c>
      <c r="E119" s="3" t="inlineStr">
        <is>
          <t>fluxos entre módulos, glossário e FAQ</t>
        </is>
      </c>
      <c r="F119" s="3" t="inlineStr">
        <is>
          <t>FE-043</t>
        </is>
      </c>
      <c r="G119" s="4" t="inlineStr">
        <is>
          <t>Não iniciada</t>
        </is>
      </c>
      <c r="H119" s="3" t="inlineStr">
        <is>
          <t>Navegação contextual funcionando</t>
        </is>
      </c>
      <c r="I119" s="3" t="inlineStr">
        <is>
          <t>QA / Frontend</t>
        </is>
      </c>
      <c r="J119" s="9" t="inlineStr">
        <is>
          <t>Média</t>
        </is>
      </c>
      <c r="K119" s="8" t="inlineStr"/>
      <c r="L119" s="8" t="inlineStr"/>
      <c r="M119" s="3" t="inlineStr"/>
    </row>
    <row r="120">
      <c r="A120" s="3" t="inlineStr">
        <is>
          <t>DOC-009</t>
        </is>
      </c>
      <c r="B120" s="4" t="n">
        <v>7</v>
      </c>
      <c r="C120" s="3" t="inlineStr">
        <is>
          <t>Documentação</t>
        </is>
      </c>
      <c r="D120" s="3" t="inlineStr">
        <is>
          <t>Documentar educação, glossário e FAQ</t>
        </is>
      </c>
      <c r="E120" s="3" t="inlineStr">
        <is>
          <t>docs/user-guide.md; docs/content-guide.md</t>
        </is>
      </c>
      <c r="F120" s="3" t="inlineStr">
        <is>
          <t>BE-048, FE-044</t>
        </is>
      </c>
      <c r="G120" s="4" t="inlineStr">
        <is>
          <t>Não iniciada</t>
        </is>
      </c>
      <c r="H120" s="3" t="inlineStr">
        <is>
          <t>Camada educativa documentada</t>
        </is>
      </c>
      <c r="I120" s="3" t="inlineStr">
        <is>
          <t>Documentação</t>
        </is>
      </c>
      <c r="J120" s="9" t="inlineStr">
        <is>
          <t>Média</t>
        </is>
      </c>
      <c r="K120" s="8" t="inlineStr"/>
      <c r="L120" s="8" t="inlineStr"/>
      <c r="M120" s="3" t="inlineStr"/>
    </row>
    <row r="121">
      <c r="A121" s="3" t="inlineStr">
        <is>
          <t>BE-049</t>
        </is>
      </c>
      <c r="B121" s="4" t="n">
        <v>8</v>
      </c>
      <c r="C121" s="3" t="inlineStr">
        <is>
          <t>Backend</t>
        </is>
      </c>
      <c r="D121" s="3" t="inlineStr">
        <is>
          <t>Implementar serviço de exportação PDF</t>
        </is>
      </c>
      <c r="E121" s="3" t="inlineStr">
        <is>
          <t>pdf_exporter.py</t>
        </is>
      </c>
      <c r="F121" s="3" t="inlineStr">
        <is>
          <t>módulos do MVP concluídos</t>
        </is>
      </c>
      <c r="G121" s="4" t="inlineStr">
        <is>
          <t>Não iniciada</t>
        </is>
      </c>
      <c r="H121" s="3" t="inlineStr">
        <is>
          <t>PDF básico gerado com dados principais</t>
        </is>
      </c>
      <c r="I121" s="3" t="inlineStr">
        <is>
          <t>Backend</t>
        </is>
      </c>
      <c r="J121" s="9" t="inlineStr">
        <is>
          <t>Média</t>
        </is>
      </c>
      <c r="K121" s="8" t="inlineStr"/>
      <c r="L121" s="8" t="inlineStr"/>
      <c r="M121" s="3" t="inlineStr"/>
    </row>
    <row r="122">
      <c r="A122" s="3" t="inlineStr">
        <is>
          <t>BE-050</t>
        </is>
      </c>
      <c r="B122" s="4" t="n">
        <v>8</v>
      </c>
      <c r="C122" s="3" t="inlineStr">
        <is>
          <t>Backend</t>
        </is>
      </c>
      <c r="D122" s="3" t="inlineStr">
        <is>
          <t>Implementar serviço de exportação Excel</t>
        </is>
      </c>
      <c r="E122" s="3" t="inlineStr">
        <is>
          <t>excel_exporter.py</t>
        </is>
      </c>
      <c r="F122" s="3" t="inlineStr">
        <is>
          <t>módulos do MVP concluídos</t>
        </is>
      </c>
      <c r="G122" s="4" t="inlineStr">
        <is>
          <t>Não iniciada</t>
        </is>
      </c>
      <c r="H122" s="3" t="inlineStr">
        <is>
          <t>Excel básico gerado com dados tabulares</t>
        </is>
      </c>
      <c r="I122" s="3" t="inlineStr">
        <is>
          <t>Backend</t>
        </is>
      </c>
      <c r="J122" s="9" t="inlineStr">
        <is>
          <t>Média</t>
        </is>
      </c>
      <c r="K122" s="8" t="inlineStr"/>
      <c r="L122" s="8" t="inlineStr"/>
      <c r="M122" s="3" t="inlineStr"/>
    </row>
    <row r="123">
      <c r="A123" s="3" t="inlineStr">
        <is>
          <t>BE-051</t>
        </is>
      </c>
      <c r="B123" s="4" t="n">
        <v>8</v>
      </c>
      <c r="C123" s="3" t="inlineStr">
        <is>
          <t>Backend</t>
        </is>
      </c>
      <c r="D123" s="3" t="inlineStr">
        <is>
          <t>Criar rotas de exportação</t>
        </is>
      </c>
      <c r="E123" s="3" t="inlineStr">
        <is>
          <t>export_service.py; export.py</t>
        </is>
      </c>
      <c r="F123" s="3" t="inlineStr">
        <is>
          <t>BE-049, BE-050</t>
        </is>
      </c>
      <c r="G123" s="4" t="inlineStr">
        <is>
          <t>Não iniciada</t>
        </is>
      </c>
      <c r="H123" s="3" t="inlineStr">
        <is>
          <t>Rotas de exportação funcionais</t>
        </is>
      </c>
      <c r="I123" s="3" t="inlineStr">
        <is>
          <t>Backend</t>
        </is>
      </c>
      <c r="J123" s="9" t="inlineStr">
        <is>
          <t>Média</t>
        </is>
      </c>
      <c r="K123" s="8" t="inlineStr"/>
      <c r="L123" s="8" t="inlineStr"/>
      <c r="M123" s="3" t="inlineStr"/>
    </row>
    <row r="124">
      <c r="A124" s="3" t="inlineStr">
        <is>
          <t>FE-045</t>
        </is>
      </c>
      <c r="B124" s="4" t="n">
        <v>8</v>
      </c>
      <c r="C124" s="3" t="inlineStr">
        <is>
          <t>Frontend</t>
        </is>
      </c>
      <c r="D124" s="3" t="inlineStr">
        <is>
          <t>Criar botão de exportação reutilizável</t>
        </is>
      </c>
      <c r="E124" s="3" t="inlineStr">
        <is>
          <t>ExportButton.tsx</t>
        </is>
      </c>
      <c r="F124" s="3" t="inlineStr">
        <is>
          <t>FE-009, BE-051</t>
        </is>
      </c>
      <c r="G124" s="4" t="inlineStr">
        <is>
          <t>Não iniciada</t>
        </is>
      </c>
      <c r="H124" s="3" t="inlineStr">
        <is>
          <t>Botão reutilizável integrado ao fluxo</t>
        </is>
      </c>
      <c r="I124" s="3" t="inlineStr">
        <is>
          <t>Frontend</t>
        </is>
      </c>
      <c r="J124" s="9" t="inlineStr">
        <is>
          <t>Média</t>
        </is>
      </c>
      <c r="K124" s="8" t="inlineStr"/>
      <c r="L124" s="8" t="inlineStr"/>
      <c r="M124" s="3" t="inlineStr"/>
    </row>
    <row r="125">
      <c r="A125" s="3" t="inlineStr">
        <is>
          <t>FE-046</t>
        </is>
      </c>
      <c r="B125" s="4" t="n">
        <v>8</v>
      </c>
      <c r="C125" s="3" t="inlineStr">
        <is>
          <t>Frontend</t>
        </is>
      </c>
      <c r="D125" s="3" t="inlineStr">
        <is>
          <t>Integrar exportação aos módulos prioritários</t>
        </is>
      </c>
      <c r="E125" s="3" t="inlineStr">
        <is>
          <t>páginas dos módulos prioritários</t>
        </is>
      </c>
      <c r="F125" s="3" t="inlineStr">
        <is>
          <t>FE-045</t>
        </is>
      </c>
      <c r="G125" s="4" t="inlineStr">
        <is>
          <t>Não iniciada</t>
        </is>
      </c>
      <c r="H125" s="3" t="inlineStr">
        <is>
          <t>Exportação acessível nos módulos prioritários</t>
        </is>
      </c>
      <c r="I125" s="3" t="inlineStr">
        <is>
          <t>Frontend</t>
        </is>
      </c>
      <c r="J125" s="9" t="inlineStr">
        <is>
          <t>Média</t>
        </is>
      </c>
      <c r="K125" s="8" t="inlineStr"/>
      <c r="L125" s="8" t="inlineStr"/>
      <c r="M125" s="3" t="inlineStr"/>
    </row>
    <row r="126">
      <c r="A126" s="3" t="inlineStr">
        <is>
          <t>FE-047</t>
        </is>
      </c>
      <c r="B126" s="4" t="n">
        <v>8</v>
      </c>
      <c r="C126" s="3" t="inlineStr">
        <is>
          <t>Frontend</t>
        </is>
      </c>
      <c r="D126" s="3" t="inlineStr">
        <is>
          <t>Revisar responsividade global</t>
        </is>
      </c>
      <c r="E126" s="3" t="inlineStr">
        <is>
          <t>layout, páginas e componentes principais</t>
        </is>
      </c>
      <c r="F126" s="3" t="inlineStr">
        <is>
          <t>FE-046</t>
        </is>
      </c>
      <c r="G126" s="4" t="inlineStr">
        <is>
          <t>Não iniciada</t>
        </is>
      </c>
      <c r="H126" s="3" t="inlineStr">
        <is>
          <t>Navegação e leitura adequadas em desktop/tablet/mobile</t>
        </is>
      </c>
      <c r="I126" s="3" t="inlineStr">
        <is>
          <t>Frontend</t>
        </is>
      </c>
      <c r="J126" s="7" t="inlineStr">
        <is>
          <t>Alta</t>
        </is>
      </c>
      <c r="K126" s="8" t="inlineStr"/>
      <c r="L126" s="8" t="inlineStr"/>
      <c r="M126" s="3" t="inlineStr"/>
    </row>
    <row r="127">
      <c r="A127" s="3" t="inlineStr">
        <is>
          <t>FE-048</t>
        </is>
      </c>
      <c r="B127" s="4" t="n">
        <v>8</v>
      </c>
      <c r="C127" s="3" t="inlineStr">
        <is>
          <t>Frontend</t>
        </is>
      </c>
      <c r="D127" s="3" t="inlineStr">
        <is>
          <t>Revisar estados de erro e loading</t>
        </is>
      </c>
      <c r="E127" s="3" t="inlineStr">
        <is>
          <t>componentes e páginas do MVP</t>
        </is>
      </c>
      <c r="F127" s="3" t="inlineStr">
        <is>
          <t>FE-008, FE-047</t>
        </is>
      </c>
      <c r="G127" s="4" t="inlineStr">
        <is>
          <t>Não iniciada</t>
        </is>
      </c>
      <c r="H127" s="3" t="inlineStr">
        <is>
          <t>Erros e carregamento consistentes em todo o MVP</t>
        </is>
      </c>
      <c r="I127" s="3" t="inlineStr">
        <is>
          <t>Frontend</t>
        </is>
      </c>
      <c r="J127" s="7" t="inlineStr">
        <is>
          <t>Alta</t>
        </is>
      </c>
      <c r="K127" s="8" t="inlineStr"/>
      <c r="L127" s="8" t="inlineStr"/>
      <c r="M127" s="3" t="inlineStr"/>
    </row>
    <row r="128">
      <c r="A128" s="3" t="inlineStr">
        <is>
          <t>FE-049</t>
        </is>
      </c>
      <c r="B128" s="4" t="n">
        <v>8</v>
      </c>
      <c r="C128" s="3" t="inlineStr">
        <is>
          <t>Frontend</t>
        </is>
      </c>
      <c r="D128" s="3" t="inlineStr">
        <is>
          <t>Ajustes finais de consistência visual</t>
        </is>
      </c>
      <c r="E128" s="3" t="inlineStr">
        <is>
          <t>componentes-base e páginas do MVP</t>
        </is>
      </c>
      <c r="F128" s="3" t="inlineStr">
        <is>
          <t>FE-047, FE-048</t>
        </is>
      </c>
      <c r="G128" s="4" t="inlineStr">
        <is>
          <t>Não iniciada</t>
        </is>
      </c>
      <c r="H128" s="3" t="inlineStr">
        <is>
          <t>Padrão visual uniforme</t>
        </is>
      </c>
      <c r="I128" s="3" t="inlineStr">
        <is>
          <t>Frontend / UX</t>
        </is>
      </c>
      <c r="J128" s="7" t="inlineStr">
        <is>
          <t>Alta</t>
        </is>
      </c>
      <c r="K128" s="8" t="inlineStr"/>
      <c r="L128" s="8" t="inlineStr"/>
      <c r="M128" s="3" t="inlineStr"/>
    </row>
    <row r="129">
      <c r="A129" s="3" t="inlineStr">
        <is>
          <t>QA-018</t>
        </is>
      </c>
      <c r="B129" s="4" t="n">
        <v>8</v>
      </c>
      <c r="C129" s="3" t="inlineStr">
        <is>
          <t>Testes</t>
        </is>
      </c>
      <c r="D129" s="3" t="inlineStr">
        <is>
          <t>Testes de exportação</t>
        </is>
      </c>
      <c r="E129" s="3" t="inlineStr">
        <is>
          <t>backend e frontend de exportação</t>
        </is>
      </c>
      <c r="F129" s="3" t="inlineStr">
        <is>
          <t>BE-051, FE-046</t>
        </is>
      </c>
      <c r="G129" s="4" t="inlineStr">
        <is>
          <t>Não iniciada</t>
        </is>
      </c>
      <c r="H129" s="3" t="inlineStr">
        <is>
          <t>PDF e Excel gerados e acionados corretamente</t>
        </is>
      </c>
      <c r="I129" s="3" t="inlineStr">
        <is>
          <t>QA</t>
        </is>
      </c>
      <c r="J129" s="9" t="inlineStr">
        <is>
          <t>Média</t>
        </is>
      </c>
      <c r="K129" s="8" t="inlineStr"/>
      <c r="L129" s="8" t="inlineStr"/>
      <c r="M129" s="3" t="inlineStr"/>
    </row>
    <row r="130">
      <c r="A130" s="3" t="inlineStr">
        <is>
          <t>QA-019</t>
        </is>
      </c>
      <c r="B130" s="4" t="n">
        <v>8</v>
      </c>
      <c r="C130" s="3" t="inlineStr">
        <is>
          <t>Testes</t>
        </is>
      </c>
      <c r="D130" s="3" t="inlineStr">
        <is>
          <t>Regressão principal do backend</t>
        </is>
      </c>
      <c r="E130" s="3" t="inlineStr">
        <is>
          <t>suíte de regressão dos módulos do MVP</t>
        </is>
      </c>
      <c r="F130" s="3" t="inlineStr">
        <is>
          <t>todos os módulos do MVP</t>
        </is>
      </c>
      <c r="G130" s="4" t="inlineStr">
        <is>
          <t>Não iniciada</t>
        </is>
      </c>
      <c r="H130" s="3" t="inlineStr">
        <is>
          <t>Módulos centrais mantêm comportamento válido</t>
        </is>
      </c>
      <c r="I130" s="3" t="inlineStr">
        <is>
          <t>QA / Backend</t>
        </is>
      </c>
      <c r="J130" s="7" t="inlineStr">
        <is>
          <t>Alta</t>
        </is>
      </c>
      <c r="K130" s="8" t="inlineStr"/>
      <c r="L130" s="8" t="inlineStr"/>
      <c r="M130" s="3" t="inlineStr"/>
    </row>
    <row r="131">
      <c r="A131" s="3" t="inlineStr">
        <is>
          <t>QA-020</t>
        </is>
      </c>
      <c r="B131" s="4" t="n">
        <v>8</v>
      </c>
      <c r="C131" s="3" t="inlineStr">
        <is>
          <t>Testes</t>
        </is>
      </c>
      <c r="D131" s="3" t="inlineStr">
        <is>
          <t>Regressão principal do frontend</t>
        </is>
      </c>
      <c r="E131" s="3" t="inlineStr">
        <is>
          <t>suíte de regressão do MVP</t>
        </is>
      </c>
      <c r="F131" s="3" t="inlineStr">
        <is>
          <t>todos os módulos do MVP</t>
        </is>
      </c>
      <c r="G131" s="4" t="inlineStr">
        <is>
          <t>Não iniciada</t>
        </is>
      </c>
      <c r="H131" s="3" t="inlineStr">
        <is>
          <t>Fluxos centrais permanecem íntegros</t>
        </is>
      </c>
      <c r="I131" s="3" t="inlineStr">
        <is>
          <t>QA / Frontend</t>
        </is>
      </c>
      <c r="J131" s="7" t="inlineStr">
        <is>
          <t>Alta</t>
        </is>
      </c>
      <c r="K131" s="8" t="inlineStr"/>
      <c r="L131" s="8" t="inlineStr"/>
      <c r="M131" s="3" t="inlineStr"/>
    </row>
    <row r="132">
      <c r="A132" s="3" t="inlineStr">
        <is>
          <t>QA-021</t>
        </is>
      </c>
      <c r="B132" s="4" t="n">
        <v>8</v>
      </c>
      <c r="C132" s="3" t="inlineStr">
        <is>
          <t>Testes</t>
        </is>
      </c>
      <c r="D132" s="3" t="inlineStr">
        <is>
          <t>Checklist manual do MVP</t>
        </is>
      </c>
      <c r="E132" s="3" t="inlineStr">
        <is>
          <t>checklist operacional</t>
        </is>
      </c>
      <c r="F132" s="3" t="inlineStr">
        <is>
          <t>FE-049, QA-019, QA-020</t>
        </is>
      </c>
      <c r="G132" s="4" t="inlineStr">
        <is>
          <t>Não iniciada</t>
        </is>
      </c>
      <c r="H132" s="3" t="inlineStr">
        <is>
          <t>MVP validado ponta a ponta manualmente</t>
        </is>
      </c>
      <c r="I132" s="3" t="inlineStr">
        <is>
          <t>QA / Produto</t>
        </is>
      </c>
      <c r="J132" s="7" t="inlineStr">
        <is>
          <t>Alta</t>
        </is>
      </c>
      <c r="K132" s="8" t="inlineStr"/>
      <c r="L132" s="8" t="inlineStr"/>
      <c r="M132" s="3" t="inlineStr"/>
    </row>
    <row r="133">
      <c r="A133" s="3" t="inlineStr">
        <is>
          <t>DOC-010</t>
        </is>
      </c>
      <c r="B133" s="4" t="n">
        <v>8</v>
      </c>
      <c r="C133" s="3" t="inlineStr">
        <is>
          <t>Documentação</t>
        </is>
      </c>
      <c r="D133" s="3" t="inlineStr">
        <is>
          <t>Documentar exportação e fechamento do MVP</t>
        </is>
      </c>
      <c r="E133" s="3" t="inlineStr">
        <is>
          <t>README.md; docs/user-guide.md; docs/api-contract.md</t>
        </is>
      </c>
      <c r="F133" s="3" t="inlineStr">
        <is>
          <t>BE-051, FE-046</t>
        </is>
      </c>
      <c r="G133" s="4" t="inlineStr">
        <is>
          <t>Não iniciada</t>
        </is>
      </c>
      <c r="H133" s="3" t="inlineStr">
        <is>
          <t>Execução, exportação e uso do MVP documentados</t>
        </is>
      </c>
      <c r="I133" s="3" t="inlineStr">
        <is>
          <t>Documentação</t>
        </is>
      </c>
      <c r="J133" s="9" t="inlineStr">
        <is>
          <t>Média</t>
        </is>
      </c>
      <c r="K133" s="8" t="inlineStr"/>
      <c r="L133" s="8" t="inlineStr"/>
      <c r="M133" s="3" t="inlineStr"/>
    </row>
    <row r="134">
      <c r="A134" s="3" t="inlineStr">
        <is>
          <t>BE-052</t>
        </is>
      </c>
      <c r="B134" s="4" t="n">
        <v>9</v>
      </c>
      <c r="C134" s="3" t="inlineStr">
        <is>
          <t>Backend</t>
        </is>
      </c>
      <c r="D134" s="3" t="inlineStr">
        <is>
          <t>Criar schema de Investir ou Quitar</t>
        </is>
      </c>
      <c r="E134" s="3" t="inlineStr">
        <is>
          <t>invest_vs_debt.py</t>
        </is>
      </c>
      <c r="F134" s="3" t="inlineStr">
        <is>
          <t>BE-003</t>
        </is>
      </c>
      <c r="G134" s="4" t="inlineStr">
        <is>
          <t>Não iniciada</t>
        </is>
      </c>
      <c r="H134" s="3" t="inlineStr">
        <is>
          <t>Contrato do módulo definido</t>
        </is>
      </c>
      <c r="I134" s="3" t="inlineStr">
        <is>
          <t>Backend</t>
        </is>
      </c>
      <c r="J134" s="9" t="inlineStr">
        <is>
          <t>Média</t>
        </is>
      </c>
      <c r="K134" s="8" t="inlineStr"/>
      <c r="L134" s="8" t="inlineStr"/>
      <c r="M134" s="3" t="inlineStr"/>
    </row>
    <row r="135">
      <c r="A135" s="3" t="inlineStr">
        <is>
          <t>BE-053</t>
        </is>
      </c>
      <c r="B135" s="4" t="n">
        <v>9</v>
      </c>
      <c r="C135" s="3" t="inlineStr">
        <is>
          <t>Backend</t>
        </is>
      </c>
      <c r="D135" s="3" t="inlineStr">
        <is>
          <t>Implementar domínio Investir ou Quitar</t>
        </is>
      </c>
      <c r="E135" s="3" t="inlineStr">
        <is>
          <t>backend/app/domain/invest_vs_debt/calculator.py</t>
        </is>
      </c>
      <c r="F135" s="3" t="inlineStr">
        <is>
          <t>BE-052</t>
        </is>
      </c>
      <c r="G135" s="4" t="inlineStr">
        <is>
          <t>Não iniciada</t>
        </is>
      </c>
      <c r="H135" s="3" t="inlineStr">
        <is>
          <t>Cenários quitar, investir e híbrido calculados corretamente</t>
        </is>
      </c>
      <c r="I135" s="3" t="inlineStr">
        <is>
          <t>Backend</t>
        </is>
      </c>
      <c r="J135" s="9" t="inlineStr">
        <is>
          <t>Média</t>
        </is>
      </c>
      <c r="K135" s="8" t="inlineStr"/>
      <c r="L135" s="8" t="inlineStr"/>
      <c r="M135" s="3" t="inlineStr"/>
    </row>
    <row r="136">
      <c r="A136" s="3" t="inlineStr">
        <is>
          <t>BE-054</t>
        </is>
      </c>
      <c r="B136" s="4" t="n">
        <v>9</v>
      </c>
      <c r="C136" s="3" t="inlineStr">
        <is>
          <t>Backend</t>
        </is>
      </c>
      <c r="D136" s="3" t="inlineStr">
        <is>
          <t>Criar serviço Investir ou Quitar</t>
        </is>
      </c>
      <c r="E136" s="3" t="inlineStr">
        <is>
          <t>invest_vs_debt_service.py</t>
        </is>
      </c>
      <c r="F136" s="3" t="inlineStr">
        <is>
          <t>BE-053</t>
        </is>
      </c>
      <c r="G136" s="4" t="inlineStr">
        <is>
          <t>Não iniciada</t>
        </is>
      </c>
      <c r="H136" s="3" t="inlineStr">
        <is>
          <t>Serviço monta comparação, alertas e interpretação</t>
        </is>
      </c>
      <c r="I136" s="3" t="inlineStr">
        <is>
          <t>Backend</t>
        </is>
      </c>
      <c r="J136" s="9" t="inlineStr">
        <is>
          <t>Média</t>
        </is>
      </c>
      <c r="K136" s="8" t="inlineStr"/>
      <c r="L136" s="8" t="inlineStr"/>
      <c r="M136" s="3" t="inlineStr"/>
    </row>
    <row r="137">
      <c r="A137" s="3" t="inlineStr">
        <is>
          <t>BE-055</t>
        </is>
      </c>
      <c r="B137" s="4" t="n">
        <v>9</v>
      </c>
      <c r="C137" s="3" t="inlineStr">
        <is>
          <t>Backend</t>
        </is>
      </c>
      <c r="D137" s="3" t="inlineStr">
        <is>
          <t>Criar endpoint Investir ou Quitar</t>
        </is>
      </c>
      <c r="E137" s="3" t="inlineStr">
        <is>
          <t>backend/app/api/routes/invest_vs_debt.py</t>
        </is>
      </c>
      <c r="F137" s="3" t="inlineStr">
        <is>
          <t>BE-054</t>
        </is>
      </c>
      <c r="G137" s="4" t="inlineStr">
        <is>
          <t>Não iniciada</t>
        </is>
      </c>
      <c r="H137" s="3" t="inlineStr">
        <is>
          <t>POST /api/v1/invest-vs-debt funcional</t>
        </is>
      </c>
      <c r="I137" s="3" t="inlineStr">
        <is>
          <t>Backend</t>
        </is>
      </c>
      <c r="J137" s="9" t="inlineStr">
        <is>
          <t>Média</t>
        </is>
      </c>
      <c r="K137" s="8" t="inlineStr"/>
      <c r="L137" s="8" t="inlineStr"/>
      <c r="M137" s="3" t="inlineStr"/>
    </row>
    <row r="138">
      <c r="A138" s="3" t="inlineStr">
        <is>
          <t>FE-050</t>
        </is>
      </c>
      <c r="B138" s="4" t="n">
        <v>9</v>
      </c>
      <c r="C138" s="3" t="inlineStr">
        <is>
          <t>Frontend</t>
        </is>
      </c>
      <c r="D138" s="3" t="inlineStr">
        <is>
          <t>Criar página Investir ou Quitar</t>
        </is>
      </c>
      <c r="E138" s="3" t="inlineStr">
        <is>
          <t>frontend/src/app/investir-ou-quitar/page.tsx</t>
        </is>
      </c>
      <c r="F138" s="3" t="inlineStr">
        <is>
          <t>FE-007</t>
        </is>
      </c>
      <c r="G138" s="4" t="inlineStr">
        <is>
          <t>Não iniciada</t>
        </is>
      </c>
      <c r="H138" s="3" t="inlineStr">
        <is>
          <t>Página criada</t>
        </is>
      </c>
      <c r="I138" s="3" t="inlineStr">
        <is>
          <t>Frontend</t>
        </is>
      </c>
      <c r="J138" s="9" t="inlineStr">
        <is>
          <t>Média</t>
        </is>
      </c>
      <c r="K138" s="8" t="inlineStr"/>
      <c r="L138" s="8" t="inlineStr"/>
      <c r="M138" s="3" t="inlineStr"/>
    </row>
    <row r="139">
      <c r="A139" s="3" t="inlineStr">
        <is>
          <t>FE-051</t>
        </is>
      </c>
      <c r="B139" s="4" t="n">
        <v>9</v>
      </c>
      <c r="C139" s="3" t="inlineStr">
        <is>
          <t>Frontend</t>
        </is>
      </c>
      <c r="D139" s="3" t="inlineStr">
        <is>
          <t>Criar formulário Investir ou Quitar</t>
        </is>
      </c>
      <c r="E139" s="3" t="inlineStr">
        <is>
          <t>InvestVsDebtForm.tsx</t>
        </is>
      </c>
      <c r="F139" s="3" t="inlineStr">
        <is>
          <t>FE-050</t>
        </is>
      </c>
      <c r="G139" s="4" t="inlineStr">
        <is>
          <t>Não iniciada</t>
        </is>
      </c>
      <c r="H139" s="3" t="inlineStr">
        <is>
          <t>Formulário funcional</t>
        </is>
      </c>
      <c r="I139" s="3" t="inlineStr">
        <is>
          <t>Frontend</t>
        </is>
      </c>
      <c r="J139" s="9" t="inlineStr">
        <is>
          <t>Média</t>
        </is>
      </c>
      <c r="K139" s="8" t="inlineStr"/>
      <c r="L139" s="8" t="inlineStr"/>
      <c r="M139" s="3" t="inlineStr"/>
    </row>
    <row r="140">
      <c r="A140" s="3" t="inlineStr">
        <is>
          <t>FE-052</t>
        </is>
      </c>
      <c r="B140" s="4" t="n">
        <v>9</v>
      </c>
      <c r="C140" s="3" t="inlineStr">
        <is>
          <t>Frontend</t>
        </is>
      </c>
      <c r="D140" s="3" t="inlineStr">
        <is>
          <t>Criar visualização comparativa Investir ou Quitar</t>
        </is>
      </c>
      <c r="E140" s="3" t="inlineStr">
        <is>
          <t>componentes do módulo</t>
        </is>
      </c>
      <c r="F140" s="3" t="inlineStr">
        <is>
          <t>FE-051, BE-055</t>
        </is>
      </c>
      <c r="G140" s="4" t="inlineStr">
        <is>
          <t>Não iniciada</t>
        </is>
      </c>
      <c r="H140" s="3" t="inlineStr">
        <is>
          <t>Três cenários exibidos com interpretação</t>
        </is>
      </c>
      <c r="I140" s="3" t="inlineStr">
        <is>
          <t>Frontend</t>
        </is>
      </c>
      <c r="J140" s="9" t="inlineStr">
        <is>
          <t>Média</t>
        </is>
      </c>
      <c r="K140" s="8" t="inlineStr"/>
      <c r="L140" s="8" t="inlineStr"/>
      <c r="M140" s="3" t="inlineStr"/>
    </row>
    <row r="141">
      <c r="A141" s="3" t="inlineStr">
        <is>
          <t>BE-056</t>
        </is>
      </c>
      <c r="B141" s="4" t="n">
        <v>9</v>
      </c>
      <c r="C141" s="3" t="inlineStr">
        <is>
          <t>Backend</t>
        </is>
      </c>
      <c r="D141" s="3" t="inlineStr">
        <is>
          <t>Criar modelos iniciais de persistência de simulação</t>
        </is>
      </c>
      <c r="E141" s="3" t="inlineStr">
        <is>
          <t>simulation.py; simulation_input.py; simulation_result.py</t>
        </is>
      </c>
      <c r="F141" s="3" t="inlineStr">
        <is>
          <t>Arquitetura base</t>
        </is>
      </c>
      <c r="G141" s="4" t="inlineStr">
        <is>
          <t>Não iniciada</t>
        </is>
      </c>
      <c r="H141" s="3" t="inlineStr">
        <is>
          <t>Modelos coerentes com a modelagem de dados</t>
        </is>
      </c>
      <c r="I141" s="3" t="inlineStr">
        <is>
          <t>Backend</t>
        </is>
      </c>
      <c r="J141" s="9" t="inlineStr">
        <is>
          <t>Média</t>
        </is>
      </c>
      <c r="K141" s="8" t="inlineStr"/>
      <c r="L141" s="8" t="inlineStr"/>
      <c r="M141" s="3" t="inlineStr"/>
    </row>
    <row r="142">
      <c r="A142" s="3" t="inlineStr">
        <is>
          <t>BE-057</t>
        </is>
      </c>
      <c r="B142" s="4" t="n">
        <v>9</v>
      </c>
      <c r="C142" s="3" t="inlineStr">
        <is>
          <t>Backend</t>
        </is>
      </c>
      <c r="D142" s="3" t="inlineStr">
        <is>
          <t>Criar repositório de simulações</t>
        </is>
      </c>
      <c r="E142" s="3" t="inlineStr">
        <is>
          <t>simulation_repository.py</t>
        </is>
      </c>
      <c r="F142" s="3" t="inlineStr">
        <is>
          <t>BE-056</t>
        </is>
      </c>
      <c r="G142" s="4" t="inlineStr">
        <is>
          <t>Não iniciada</t>
        </is>
      </c>
      <c r="H142" s="3" t="inlineStr">
        <is>
          <t>Persistência encapsulada em repositório</t>
        </is>
      </c>
      <c r="I142" s="3" t="inlineStr">
        <is>
          <t>Backend</t>
        </is>
      </c>
      <c r="J142" s="9" t="inlineStr">
        <is>
          <t>Média</t>
        </is>
      </c>
      <c r="K142" s="8" t="inlineStr"/>
      <c r="L142" s="8" t="inlineStr"/>
      <c r="M142" s="3" t="inlineStr"/>
    </row>
    <row r="143">
      <c r="A143" s="3" t="inlineStr">
        <is>
          <t>BE-058</t>
        </is>
      </c>
      <c r="B143" s="4" t="n">
        <v>9</v>
      </c>
      <c r="C143" s="3" t="inlineStr">
        <is>
          <t>Backend</t>
        </is>
      </c>
      <c r="D143" s="3" t="inlineStr">
        <is>
          <t>Criar rotas básicas de histórico</t>
        </is>
      </c>
      <c r="E143" s="3" t="inlineStr">
        <is>
          <t>routes/simulations.py ou equivalente</t>
        </is>
      </c>
      <c r="F143" s="3" t="inlineStr">
        <is>
          <t>BE-057</t>
        </is>
      </c>
      <c r="G143" s="4" t="inlineStr">
        <is>
          <t>Não iniciada</t>
        </is>
      </c>
      <c r="H143" s="3" t="inlineStr">
        <is>
          <t>Histórico inicial consultável</t>
        </is>
      </c>
      <c r="I143" s="3" t="inlineStr">
        <is>
          <t>Backend</t>
        </is>
      </c>
      <c r="J143" s="9" t="inlineStr">
        <is>
          <t>Média</t>
        </is>
      </c>
      <c r="K143" s="8" t="inlineStr"/>
      <c r="L143" s="8" t="inlineStr"/>
      <c r="M143" s="3" t="inlineStr"/>
    </row>
    <row r="144">
      <c r="A144" s="3" t="inlineStr">
        <is>
          <t>BE-059</t>
        </is>
      </c>
      <c r="B144" s="4" t="n">
        <v>9</v>
      </c>
      <c r="C144" s="3" t="inlineStr">
        <is>
          <t>Backend</t>
        </is>
      </c>
      <c r="D144" s="3" t="inlineStr">
        <is>
          <t>Criar rotas básicas de cenário salvo</t>
        </is>
      </c>
      <c r="E144" s="3" t="inlineStr">
        <is>
          <t>rotas e serviço de cenários salvos</t>
        </is>
      </c>
      <c r="F144" s="3" t="inlineStr">
        <is>
          <t>BE-057</t>
        </is>
      </c>
      <c r="G144" s="4" t="inlineStr">
        <is>
          <t>Não iniciada</t>
        </is>
      </c>
      <c r="H144" s="3" t="inlineStr">
        <is>
          <t>Cenários podem ser salvos e recuperados</t>
        </is>
      </c>
      <c r="I144" s="3" t="inlineStr">
        <is>
          <t>Backend</t>
        </is>
      </c>
      <c r="J144" s="9" t="inlineStr">
        <is>
          <t>Média</t>
        </is>
      </c>
      <c r="K144" s="8" t="inlineStr"/>
      <c r="L144" s="8" t="inlineStr"/>
      <c r="M144" s="3" t="inlineStr"/>
    </row>
    <row r="145">
      <c r="A145" s="3" t="inlineStr">
        <is>
          <t>FE-053</t>
        </is>
      </c>
      <c r="B145" s="4" t="n">
        <v>9</v>
      </c>
      <c r="C145" s="3" t="inlineStr">
        <is>
          <t>Frontend</t>
        </is>
      </c>
      <c r="D145" s="3" t="inlineStr">
        <is>
          <t>Criar página ou seção de histórico</t>
        </is>
      </c>
      <c r="E145" s="3" t="inlineStr">
        <is>
          <t>página/área de histórico</t>
        </is>
      </c>
      <c r="F145" s="3" t="inlineStr">
        <is>
          <t>FE-007, BE-058</t>
        </is>
      </c>
      <c r="G145" s="4" t="inlineStr">
        <is>
          <t>Não iniciada</t>
        </is>
      </c>
      <c r="H145" s="3" t="inlineStr">
        <is>
          <t>Histórico inicial navegável</t>
        </is>
      </c>
      <c r="I145" s="3" t="inlineStr">
        <is>
          <t>Frontend</t>
        </is>
      </c>
      <c r="J145" s="9" t="inlineStr">
        <is>
          <t>Média</t>
        </is>
      </c>
      <c r="K145" s="8" t="inlineStr"/>
      <c r="L145" s="8" t="inlineStr"/>
      <c r="M145" s="3" t="inlineStr"/>
    </row>
    <row r="146">
      <c r="A146" s="3" t="inlineStr">
        <is>
          <t>FE-054</t>
        </is>
      </c>
      <c r="B146" s="4" t="n">
        <v>9</v>
      </c>
      <c r="C146" s="3" t="inlineStr">
        <is>
          <t>Frontend</t>
        </is>
      </c>
      <c r="D146" s="3" t="inlineStr">
        <is>
          <t>Criar listagem de simulações</t>
        </is>
      </c>
      <c r="E146" s="3" t="inlineStr">
        <is>
          <t>componente de lista de histórico</t>
        </is>
      </c>
      <c r="F146" s="3" t="inlineStr">
        <is>
          <t>FE-053</t>
        </is>
      </c>
      <c r="G146" s="4" t="inlineStr">
        <is>
          <t>Não iniciada</t>
        </is>
      </c>
      <c r="H146" s="3" t="inlineStr">
        <is>
          <t>Simulações listadas com dados básicos</t>
        </is>
      </c>
      <c r="I146" s="3" t="inlineStr">
        <is>
          <t>Frontend</t>
        </is>
      </c>
      <c r="J146" s="9" t="inlineStr">
        <is>
          <t>Média</t>
        </is>
      </c>
      <c r="K146" s="8" t="inlineStr"/>
      <c r="L146" s="8" t="inlineStr"/>
      <c r="M146" s="3" t="inlineStr"/>
    </row>
    <row r="147">
      <c r="A147" s="3" t="inlineStr">
        <is>
          <t>FE-055</t>
        </is>
      </c>
      <c r="B147" s="4" t="n">
        <v>9</v>
      </c>
      <c r="C147" s="3" t="inlineStr">
        <is>
          <t>Frontend</t>
        </is>
      </c>
      <c r="D147" s="3" t="inlineStr">
        <is>
          <t>Criar ação de salvar cenário</t>
        </is>
      </c>
      <c r="E147" s="3" t="inlineStr">
        <is>
          <t>ação/componente de salvar cenário</t>
        </is>
      </c>
      <c r="F147" s="3" t="inlineStr">
        <is>
          <t>FE-054, BE-059</t>
        </is>
      </c>
      <c r="G147" s="4" t="inlineStr">
        <is>
          <t>Não iniciada</t>
        </is>
      </c>
      <c r="H147" s="3" t="inlineStr">
        <is>
          <t>Cenário salvo via UI básica</t>
        </is>
      </c>
      <c r="I147" s="3" t="inlineStr">
        <is>
          <t>Frontend</t>
        </is>
      </c>
      <c r="J147" s="9" t="inlineStr">
        <is>
          <t>Média</t>
        </is>
      </c>
      <c r="K147" s="8" t="inlineStr"/>
      <c r="L147" s="8" t="inlineStr"/>
      <c r="M147" s="3" t="inlineStr"/>
    </row>
    <row r="148">
      <c r="A148" s="3" t="inlineStr">
        <is>
          <t>QA-022</t>
        </is>
      </c>
      <c r="B148" s="4" t="n">
        <v>9</v>
      </c>
      <c r="C148" s="3" t="inlineStr">
        <is>
          <t>Testes</t>
        </is>
      </c>
      <c r="D148" s="3" t="inlineStr">
        <is>
          <t>Testes do módulo Investir ou Quitar</t>
        </is>
      </c>
      <c r="E148" s="3" t="inlineStr">
        <is>
          <t>testes de domínio e API</t>
        </is>
      </c>
      <c r="F148" s="3" t="inlineStr">
        <is>
          <t>BE-055, FE-052</t>
        </is>
      </c>
      <c r="G148" s="4" t="inlineStr">
        <is>
          <t>Não iniciada</t>
        </is>
      </c>
      <c r="H148" s="3" t="inlineStr">
        <is>
          <t>Módulo protegido por testes essenciais</t>
        </is>
      </c>
      <c r="I148" s="3" t="inlineStr">
        <is>
          <t>QA</t>
        </is>
      </c>
      <c r="J148" s="9" t="inlineStr">
        <is>
          <t>Média</t>
        </is>
      </c>
      <c r="K148" s="8" t="inlineStr"/>
      <c r="L148" s="8" t="inlineStr"/>
      <c r="M148" s="3" t="inlineStr"/>
    </row>
    <row r="149">
      <c r="A149" s="3" t="inlineStr">
        <is>
          <t>QA-023</t>
        </is>
      </c>
      <c r="B149" s="4" t="n">
        <v>9</v>
      </c>
      <c r="C149" s="3" t="inlineStr">
        <is>
          <t>Testes</t>
        </is>
      </c>
      <c r="D149" s="3" t="inlineStr">
        <is>
          <t>Testes de persistência inicial</t>
        </is>
      </c>
      <c r="E149" s="3" t="inlineStr">
        <is>
          <t>testes do repositório, histórico e cenário salvo</t>
        </is>
      </c>
      <c r="F149" s="3" t="inlineStr">
        <is>
          <t>BE-059</t>
        </is>
      </c>
      <c r="G149" s="4" t="inlineStr">
        <is>
          <t>Não iniciada</t>
        </is>
      </c>
      <c r="H149" s="3" t="inlineStr">
        <is>
          <t>Persistência básica validada</t>
        </is>
      </c>
      <c r="I149" s="3" t="inlineStr">
        <is>
          <t>QA / Backend</t>
        </is>
      </c>
      <c r="J149" s="9" t="inlineStr">
        <is>
          <t>Média</t>
        </is>
      </c>
      <c r="K149" s="8" t="inlineStr"/>
      <c r="L149" s="8" t="inlineStr"/>
      <c r="M149" s="3" t="inlineStr"/>
    </row>
    <row r="150">
      <c r="A150" s="3" t="inlineStr">
        <is>
          <t>QA-024</t>
        </is>
      </c>
      <c r="B150" s="4" t="n">
        <v>9</v>
      </c>
      <c r="C150" s="3" t="inlineStr">
        <is>
          <t>Testes</t>
        </is>
      </c>
      <c r="D150" s="3" t="inlineStr">
        <is>
          <t>Testes frontend do histórico</t>
        </is>
      </c>
      <c r="E150" s="3" t="inlineStr">
        <is>
          <t>testes da página/listagem/ação de salvar</t>
        </is>
      </c>
      <c r="F150" s="3" t="inlineStr">
        <is>
          <t>FE-055</t>
        </is>
      </c>
      <c r="G150" s="4" t="inlineStr">
        <is>
          <t>Não iniciada</t>
        </is>
      </c>
      <c r="H150" s="3" t="inlineStr">
        <is>
          <t>Fluxo básico de histórico coberto</t>
        </is>
      </c>
      <c r="I150" s="3" t="inlineStr">
        <is>
          <t>QA / Frontend</t>
        </is>
      </c>
      <c r="J150" s="9" t="inlineStr">
        <is>
          <t>Média</t>
        </is>
      </c>
      <c r="K150" s="8" t="inlineStr"/>
      <c r="L150" s="8" t="inlineStr"/>
      <c r="M150" s="3" t="inlineStr"/>
    </row>
    <row r="151">
      <c r="A151" s="3" t="inlineStr">
        <is>
          <t>DOC-011</t>
        </is>
      </c>
      <c r="B151" s="4" t="n">
        <v>9</v>
      </c>
      <c r="C151" s="3" t="inlineStr">
        <is>
          <t>Documentação</t>
        </is>
      </c>
      <c r="D151" s="3" t="inlineStr">
        <is>
          <t>Documentar pós-MVP prioritário</t>
        </is>
      </c>
      <c r="E151" s="3" t="inlineStr">
        <is>
          <t>docs/api-contract.md; docs/user-guide.md; docs/architecture.md</t>
        </is>
      </c>
      <c r="F151" s="3" t="inlineStr">
        <is>
          <t>BE-059, FE-055</t>
        </is>
      </c>
      <c r="G151" s="4" t="inlineStr">
        <is>
          <t>Não iniciada</t>
        </is>
      </c>
      <c r="H151" s="3" t="inlineStr">
        <is>
          <t>Pós-MVP prioritário documentado</t>
        </is>
      </c>
      <c r="I151" s="3" t="inlineStr">
        <is>
          <t>Documentação</t>
        </is>
      </c>
      <c r="J151" s="9" t="inlineStr">
        <is>
          <t>Média</t>
        </is>
      </c>
      <c r="K151" s="8" t="inlineStr"/>
      <c r="L151" s="8" t="inlineStr"/>
      <c r="M151" s="3" t="inlineStr"/>
    </row>
  </sheetData>
  <autoFilter ref="A1:M151"/>
  <dataValidations count="1">
    <dataValidation sqref="G2:G151" showDropDown="0" showInputMessage="0" showErrorMessage="0" allowBlank="0" type="list">
      <formula1>"Não iniciada,Em andamento,Bloqueada,Em validação,Concluída"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2" customWidth="1" min="4" max="4"/>
    <col width="44" customWidth="1" min="5" max="5"/>
    <col width="22" customWidth="1" min="6" max="6"/>
    <col width="16" customWidth="1" min="7" max="7"/>
    <col width="38" customWidth="1" min="8" max="8"/>
    <col width="22" customWidth="1" min="9" max="9"/>
    <col width="12" customWidth="1" min="10" max="10"/>
    <col width="12" customWidth="1" min="11" max="11"/>
    <col width="14" customWidth="1" min="12" max="12"/>
    <col width="28" customWidth="1" min="13" max="13"/>
  </cols>
  <sheetData>
    <row r="1">
      <c r="A1" s="6" t="inlineStr">
        <is>
          <t>ID</t>
        </is>
      </c>
      <c r="B1" s="6" t="inlineStr">
        <is>
          <t>Sprint</t>
        </is>
      </c>
      <c r="C1" s="6" t="inlineStr">
        <is>
          <t>Área</t>
        </is>
      </c>
      <c r="D1" s="6" t="inlineStr">
        <is>
          <t>Descrição</t>
        </is>
      </c>
      <c r="E1" s="6" t="inlineStr">
        <is>
          <t>Arquivos principais</t>
        </is>
      </c>
      <c r="F1" s="6" t="inlineStr">
        <is>
          <t>Dependências</t>
        </is>
      </c>
      <c r="G1" s="6" t="inlineStr">
        <is>
          <t>Status</t>
        </is>
      </c>
      <c r="H1" s="6" t="inlineStr">
        <is>
          <t>Critério de aceite</t>
        </is>
      </c>
      <c r="I1" s="6" t="inlineStr">
        <is>
          <t>Responsável principal</t>
        </is>
      </c>
      <c r="J1" s="6" t="inlineStr">
        <is>
          <t>Prioridade</t>
        </is>
      </c>
      <c r="K1" s="6" t="inlineStr">
        <is>
          <t>Data início</t>
        </is>
      </c>
      <c r="L1" s="6" t="inlineStr">
        <is>
          <t>Data conclusão</t>
        </is>
      </c>
      <c r="M1" s="6" t="inlineStr">
        <is>
          <t>Observações/Bloqueios</t>
        </is>
      </c>
    </row>
    <row r="2">
      <c r="A2" s="3" t="inlineStr">
        <is>
          <t>OPS-001</t>
        </is>
      </c>
      <c r="B2" s="4" t="n">
        <v>0</v>
      </c>
      <c r="C2" s="3" t="inlineStr">
        <is>
          <t>Operação</t>
        </is>
      </c>
      <c r="D2" s="3" t="inlineStr">
        <is>
          <t>Criar estrutura raiz do repositório</t>
        </is>
      </c>
      <c r="E2" s="3" t="inlineStr">
        <is>
          <t>.gitignore; .env.example; README.md; Makefile; diretórios base</t>
        </is>
      </c>
      <c r="F2" s="3" t="inlineStr">
        <is>
          <t>—</t>
        </is>
      </c>
      <c r="G2" s="4" t="inlineStr">
        <is>
          <t>Não iniciada</t>
        </is>
      </c>
      <c r="H2" s="3" t="inlineStr">
        <is>
          <t>Estrutura raiz criada e consistente com a arquitetura</t>
        </is>
      </c>
      <c r="I2" s="3" t="inlineStr">
        <is>
          <t>Arquiteto / DevOps</t>
        </is>
      </c>
      <c r="J2" s="7" t="inlineStr">
        <is>
          <t>Alta</t>
        </is>
      </c>
      <c r="K2" s="8" t="inlineStr"/>
      <c r="L2" s="8" t="inlineStr"/>
      <c r="M2" s="3" t="inlineStr"/>
    </row>
    <row r="3">
      <c r="A3" s="3" t="inlineStr">
        <is>
          <t>BE-001</t>
        </is>
      </c>
      <c r="B3" s="4" t="n">
        <v>0</v>
      </c>
      <c r="C3" s="3" t="inlineStr">
        <is>
          <t>Backend</t>
        </is>
      </c>
      <c r="D3" s="3" t="inlineStr">
        <is>
          <t>Inicializar backend FastAPI</t>
        </is>
      </c>
      <c r="E3" s="3" t="inlineStr">
        <is>
          <t>backend/app/main.py; backend/app/api/; backend/app/core/; requirements/pyproject</t>
        </is>
      </c>
      <c r="F3" s="3" t="inlineStr">
        <is>
          <t>OPS-001</t>
        </is>
      </c>
      <c r="G3" s="4" t="inlineStr">
        <is>
          <t>Não iniciada</t>
        </is>
      </c>
      <c r="H3" s="3" t="inlineStr">
        <is>
          <t>Backend sobe localmente</t>
        </is>
      </c>
      <c r="I3" s="3" t="inlineStr">
        <is>
          <t>Backend</t>
        </is>
      </c>
      <c r="J3" s="7" t="inlineStr">
        <is>
          <t>Alta</t>
        </is>
      </c>
      <c r="K3" s="8" t="inlineStr"/>
      <c r="L3" s="8" t="inlineStr"/>
      <c r="M3" s="3" t="inlineStr"/>
    </row>
    <row r="4">
      <c r="A4" s="3" t="inlineStr">
        <is>
          <t>BE-002</t>
        </is>
      </c>
      <c r="B4" s="4" t="n">
        <v>0</v>
      </c>
      <c r="C4" s="3" t="inlineStr">
        <is>
          <t>Backend</t>
        </is>
      </c>
      <c r="D4" s="3" t="inlineStr">
        <is>
          <t>Implementar endpoint /health</t>
        </is>
      </c>
      <c r="E4" s="3" t="inlineStr">
        <is>
          <t>backend/app/api/routes/health.py; backend/app/main.py</t>
        </is>
      </c>
      <c r="F4" s="3" t="inlineStr">
        <is>
          <t>BE-001</t>
        </is>
      </c>
      <c r="G4" s="4" t="inlineStr">
        <is>
          <t>Não iniciada</t>
        </is>
      </c>
      <c r="H4" s="3" t="inlineStr">
        <is>
          <t>GET /health responde 200 com payload mínimo</t>
        </is>
      </c>
      <c r="I4" s="3" t="inlineStr">
        <is>
          <t>Backend</t>
        </is>
      </c>
      <c r="J4" s="7" t="inlineStr">
        <is>
          <t>Alta</t>
        </is>
      </c>
      <c r="K4" s="8" t="inlineStr"/>
      <c r="L4" s="8" t="inlineStr"/>
      <c r="M4" s="3" t="inlineStr"/>
    </row>
    <row r="5">
      <c r="A5" s="3" t="inlineStr">
        <is>
          <t>FE-001</t>
        </is>
      </c>
      <c r="B5" s="4" t="n">
        <v>0</v>
      </c>
      <c r="C5" s="3" t="inlineStr">
        <is>
          <t>Frontend</t>
        </is>
      </c>
      <c r="D5" s="3" t="inlineStr">
        <is>
          <t>Inicializar frontend Next.js com TypeScript</t>
        </is>
      </c>
      <c r="E5" s="3" t="inlineStr">
        <is>
          <t>frontend/package.json; tsconfig; src/app/layout.tsx; src/app/page.tsx</t>
        </is>
      </c>
      <c r="F5" s="3" t="inlineStr">
        <is>
          <t>OPS-001</t>
        </is>
      </c>
      <c r="G5" s="4" t="inlineStr">
        <is>
          <t>Não iniciada</t>
        </is>
      </c>
      <c r="H5" s="3" t="inlineStr">
        <is>
          <t>Frontend sobe localmente</t>
        </is>
      </c>
      <c r="I5" s="3" t="inlineStr">
        <is>
          <t>Frontend</t>
        </is>
      </c>
      <c r="J5" s="7" t="inlineStr">
        <is>
          <t>Alta</t>
        </is>
      </c>
      <c r="K5" s="8" t="inlineStr"/>
      <c r="L5" s="8" t="inlineStr"/>
      <c r="M5" s="3" t="inlineStr"/>
    </row>
    <row r="6">
      <c r="A6" s="3" t="inlineStr">
        <is>
          <t>FE-002</t>
        </is>
      </c>
      <c r="B6" s="4" t="n">
        <v>0</v>
      </c>
      <c r="C6" s="3" t="inlineStr">
        <is>
          <t>Frontend</t>
        </is>
      </c>
      <c r="D6" s="3" t="inlineStr">
        <is>
          <t>Criar cliente básico de API</t>
        </is>
      </c>
      <c r="E6" s="3" t="inlineStr">
        <is>
          <t>frontend/src/lib/api.ts; frontend/src/lib/constants.ts</t>
        </is>
      </c>
      <c r="F6" s="3" t="inlineStr">
        <is>
          <t>FE-001, BE-002</t>
        </is>
      </c>
      <c r="G6" s="4" t="inlineStr">
        <is>
          <t>Não iniciada</t>
        </is>
      </c>
      <c r="H6" s="3" t="inlineStr">
        <is>
          <t>Frontend consegue chamar o backend</t>
        </is>
      </c>
      <c r="I6" s="3" t="inlineStr">
        <is>
          <t>Frontend</t>
        </is>
      </c>
      <c r="J6" s="7" t="inlineStr">
        <is>
          <t>Alta</t>
        </is>
      </c>
      <c r="K6" s="8" t="inlineStr"/>
      <c r="L6" s="8" t="inlineStr"/>
      <c r="M6" s="3" t="inlineStr"/>
    </row>
    <row r="7">
      <c r="A7" s="3" t="inlineStr">
        <is>
          <t>FE-003</t>
        </is>
      </c>
      <c r="B7" s="4" t="n">
        <v>0</v>
      </c>
      <c r="C7" s="3" t="inlineStr">
        <is>
          <t>Frontend</t>
        </is>
      </c>
      <c r="D7" s="3" t="inlineStr">
        <is>
          <t>Criar página inicial técnica mínima</t>
        </is>
      </c>
      <c r="E7" s="3" t="inlineStr">
        <is>
          <t>frontend/src/app/page.tsx</t>
        </is>
      </c>
      <c r="F7" s="3" t="inlineStr">
        <is>
          <t>FE-002</t>
        </is>
      </c>
      <c r="G7" s="4" t="inlineStr">
        <is>
          <t>Não iniciada</t>
        </is>
      </c>
      <c r="H7" s="3" t="inlineStr">
        <is>
          <t>Página inicial mostra status da API</t>
        </is>
      </c>
      <c r="I7" s="3" t="inlineStr">
        <is>
          <t>Frontend</t>
        </is>
      </c>
      <c r="J7" s="9" t="inlineStr">
        <is>
          <t>Média</t>
        </is>
      </c>
      <c r="K7" s="8" t="inlineStr"/>
      <c r="L7" s="8" t="inlineStr"/>
      <c r="M7" s="3" t="inlineStr"/>
    </row>
    <row r="8">
      <c r="A8" s="3" t="inlineStr">
        <is>
          <t>QA-001</t>
        </is>
      </c>
      <c r="B8" s="4" t="n">
        <v>0</v>
      </c>
      <c r="C8" s="3" t="inlineStr">
        <is>
          <t>Testes</t>
        </is>
      </c>
      <c r="D8" s="3" t="inlineStr">
        <is>
          <t>Criar teste inicial do backend</t>
        </is>
      </c>
      <c r="E8" s="3" t="inlineStr">
        <is>
          <t>backend/tests/test_health.py</t>
        </is>
      </c>
      <c r="F8" s="3" t="inlineStr">
        <is>
          <t>BE-002</t>
        </is>
      </c>
      <c r="G8" s="4" t="inlineStr">
        <is>
          <t>Não iniciada</t>
        </is>
      </c>
      <c r="H8" s="3" t="inlineStr">
        <is>
          <t>Teste cobre status 200 e contrato mínimo do /health</t>
        </is>
      </c>
      <c r="I8" s="3" t="inlineStr">
        <is>
          <t>QA / Backend</t>
        </is>
      </c>
      <c r="J8" s="7" t="inlineStr">
        <is>
          <t>Alta</t>
        </is>
      </c>
      <c r="K8" s="8" t="inlineStr"/>
      <c r="L8" s="8" t="inlineStr"/>
      <c r="M8" s="3" t="inlineStr"/>
    </row>
    <row r="9">
      <c r="A9" s="3" t="inlineStr">
        <is>
          <t>DOC-001</t>
        </is>
      </c>
      <c r="B9" s="4" t="n">
        <v>0</v>
      </c>
      <c r="C9" s="3" t="inlineStr">
        <is>
          <t>Documentação</t>
        </is>
      </c>
      <c r="D9" s="3" t="inlineStr">
        <is>
          <t>Documentar setup inicial</t>
        </is>
      </c>
      <c r="E9" s="3" t="inlineStr">
        <is>
          <t>README.md</t>
        </is>
      </c>
      <c r="F9" s="3" t="inlineStr">
        <is>
          <t>FE-001, BE-001</t>
        </is>
      </c>
      <c r="G9" s="4" t="inlineStr">
        <is>
          <t>Não iniciada</t>
        </is>
      </c>
      <c r="H9" s="3" t="inlineStr">
        <is>
          <t>README explica como subir frontend e backend</t>
        </is>
      </c>
      <c r="I9" s="3" t="inlineStr">
        <is>
          <t>Documentação</t>
        </is>
      </c>
      <c r="J9" s="7" t="inlineStr">
        <is>
          <t>Alta</t>
        </is>
      </c>
      <c r="K9" s="8" t="inlineStr"/>
      <c r="L9" s="8" t="inlineStr"/>
      <c r="M9" s="3" t="inlineStr"/>
    </row>
  </sheetData>
  <autoFilter ref="A1:M9"/>
  <dataValidations count="1">
    <dataValidation sqref="G2:G9" showDropDown="0" showInputMessage="0" showErrorMessage="0" allowBlank="0" type="list">
      <formula1>"Não iniciada,Em andamento,Bloqueada,Em validação,Concluída"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2" customWidth="1" min="4" max="4"/>
    <col width="44" customWidth="1" min="5" max="5"/>
    <col width="22" customWidth="1" min="6" max="6"/>
    <col width="16" customWidth="1" min="7" max="7"/>
    <col width="38" customWidth="1" min="8" max="8"/>
    <col width="22" customWidth="1" min="9" max="9"/>
    <col width="12" customWidth="1" min="10" max="10"/>
    <col width="12" customWidth="1" min="11" max="11"/>
    <col width="14" customWidth="1" min="12" max="12"/>
    <col width="28" customWidth="1" min="13" max="13"/>
  </cols>
  <sheetData>
    <row r="1">
      <c r="A1" s="6" t="inlineStr">
        <is>
          <t>ID</t>
        </is>
      </c>
      <c r="B1" s="6" t="inlineStr">
        <is>
          <t>Sprint</t>
        </is>
      </c>
      <c r="C1" s="6" t="inlineStr">
        <is>
          <t>Área</t>
        </is>
      </c>
      <c r="D1" s="6" t="inlineStr">
        <is>
          <t>Descrição</t>
        </is>
      </c>
      <c r="E1" s="6" t="inlineStr">
        <is>
          <t>Arquivos principais</t>
        </is>
      </c>
      <c r="F1" s="6" t="inlineStr">
        <is>
          <t>Dependências</t>
        </is>
      </c>
      <c r="G1" s="6" t="inlineStr">
        <is>
          <t>Status</t>
        </is>
      </c>
      <c r="H1" s="6" t="inlineStr">
        <is>
          <t>Critério de aceite</t>
        </is>
      </c>
      <c r="I1" s="6" t="inlineStr">
        <is>
          <t>Responsável principal</t>
        </is>
      </c>
      <c r="J1" s="6" t="inlineStr">
        <is>
          <t>Prioridade</t>
        </is>
      </c>
      <c r="K1" s="6" t="inlineStr">
        <is>
          <t>Data início</t>
        </is>
      </c>
      <c r="L1" s="6" t="inlineStr">
        <is>
          <t>Data conclusão</t>
        </is>
      </c>
      <c r="M1" s="6" t="inlineStr">
        <is>
          <t>Observações/Bloqueios</t>
        </is>
      </c>
    </row>
    <row r="2">
      <c r="A2" s="3" t="inlineStr">
        <is>
          <t>FE-004</t>
        </is>
      </c>
      <c r="B2" s="4" t="n">
        <v>1</v>
      </c>
      <c r="C2" s="3" t="inlineStr">
        <is>
          <t>Frontend</t>
        </is>
      </c>
      <c r="D2" s="3" t="inlineStr">
        <is>
          <t>Criar layout global da aplicação</t>
        </is>
      </c>
      <c r="E2" s="3" t="inlineStr">
        <is>
          <t>frontend/src/app/layout.tsx; PageContainer.tsx</t>
        </is>
      </c>
      <c r="F2" s="3" t="inlineStr">
        <is>
          <t>FE-001</t>
        </is>
      </c>
      <c r="G2" s="4" t="inlineStr">
        <is>
          <t>Não iniciada</t>
        </is>
      </c>
      <c r="H2" s="3" t="inlineStr">
        <is>
          <t>Layout global com regiões de sidebar, header e conteúdo</t>
        </is>
      </c>
      <c r="I2" s="3" t="inlineStr">
        <is>
          <t>Frontend</t>
        </is>
      </c>
      <c r="J2" s="7" t="inlineStr">
        <is>
          <t>Alta</t>
        </is>
      </c>
      <c r="K2" s="8" t="inlineStr"/>
      <c r="L2" s="8" t="inlineStr"/>
      <c r="M2" s="3" t="inlineStr"/>
    </row>
    <row r="3">
      <c r="A3" s="3" t="inlineStr">
        <is>
          <t>FE-005</t>
        </is>
      </c>
      <c r="B3" s="4" t="n">
        <v>1</v>
      </c>
      <c r="C3" s="3" t="inlineStr">
        <is>
          <t>Frontend</t>
        </is>
      </c>
      <c r="D3" s="3" t="inlineStr">
        <is>
          <t>Implementar Sidebar</t>
        </is>
      </c>
      <c r="E3" s="3" t="inlineStr">
        <is>
          <t>frontend/src/components/layout/Sidebar.tsx</t>
        </is>
      </c>
      <c r="F3" s="3" t="inlineStr">
        <is>
          <t>FE-004</t>
        </is>
      </c>
      <c r="G3" s="4" t="inlineStr">
        <is>
          <t>Não iniciada</t>
        </is>
      </c>
      <c r="H3" s="3" t="inlineStr">
        <is>
          <t>Sidebar funcional com navegação dos módulos</t>
        </is>
      </c>
      <c r="I3" s="3" t="inlineStr">
        <is>
          <t>Frontend</t>
        </is>
      </c>
      <c r="J3" s="7" t="inlineStr">
        <is>
          <t>Alta</t>
        </is>
      </c>
      <c r="K3" s="8" t="inlineStr"/>
      <c r="L3" s="8" t="inlineStr"/>
      <c r="M3" s="3" t="inlineStr"/>
    </row>
    <row r="4">
      <c r="A4" s="3" t="inlineStr">
        <is>
          <t>FE-006</t>
        </is>
      </c>
      <c r="B4" s="4" t="n">
        <v>1</v>
      </c>
      <c r="C4" s="3" t="inlineStr">
        <is>
          <t>Frontend</t>
        </is>
      </c>
      <c r="D4" s="3" t="inlineStr">
        <is>
          <t>Implementar Header</t>
        </is>
      </c>
      <c r="E4" s="3" t="inlineStr">
        <is>
          <t>frontend/src/components/layout/Header.tsx</t>
        </is>
      </c>
      <c r="F4" s="3" t="inlineStr">
        <is>
          <t>FE-004</t>
        </is>
      </c>
      <c r="G4" s="4" t="inlineStr">
        <is>
          <t>Não iniciada</t>
        </is>
      </c>
      <c r="H4" s="3" t="inlineStr">
        <is>
          <t>Header exibe nome da plataforma e título da página</t>
        </is>
      </c>
      <c r="I4" s="3" t="inlineStr">
        <is>
          <t>Frontend</t>
        </is>
      </c>
      <c r="J4" s="7" t="inlineStr">
        <is>
          <t>Alta</t>
        </is>
      </c>
      <c r="K4" s="8" t="inlineStr"/>
      <c r="L4" s="8" t="inlineStr"/>
      <c r="M4" s="3" t="inlineStr"/>
    </row>
    <row r="5">
      <c r="A5" s="3" t="inlineStr">
        <is>
          <t>FE-007</t>
        </is>
      </c>
      <c r="B5" s="4" t="n">
        <v>1</v>
      </c>
      <c r="C5" s="3" t="inlineStr">
        <is>
          <t>Frontend</t>
        </is>
      </c>
      <c r="D5" s="3" t="inlineStr">
        <is>
          <t>Criar rotas-base dos módulos</t>
        </is>
      </c>
      <c r="E5" s="3" t="inlineStr">
        <is>
          <t>frontend/src/app/*/page.tsx para todos os módulos</t>
        </is>
      </c>
      <c r="F5" s="3" t="inlineStr">
        <is>
          <t>FE-005</t>
        </is>
      </c>
      <c r="G5" s="4" t="inlineStr">
        <is>
          <t>Não iniciada</t>
        </is>
      </c>
      <c r="H5" s="3" t="inlineStr">
        <is>
          <t>Todas as páginas-base acessíveis via navegação</t>
        </is>
      </c>
      <c r="I5" s="3" t="inlineStr">
        <is>
          <t>Frontend</t>
        </is>
      </c>
      <c r="J5" s="7" t="inlineStr">
        <is>
          <t>Alta</t>
        </is>
      </c>
      <c r="K5" s="8" t="inlineStr"/>
      <c r="L5" s="8" t="inlineStr"/>
      <c r="M5" s="3" t="inlineStr"/>
    </row>
    <row r="6">
      <c r="A6" s="3" t="inlineStr">
        <is>
          <t>FE-008</t>
        </is>
      </c>
      <c r="B6" s="4" t="n">
        <v>1</v>
      </c>
      <c r="C6" s="3" t="inlineStr">
        <is>
          <t>Frontend</t>
        </is>
      </c>
      <c r="D6" s="3" t="inlineStr">
        <is>
          <t>Criar componentes de estado</t>
        </is>
      </c>
      <c r="E6" s="3" t="inlineStr">
        <is>
          <t>LoadingState.tsx; ErrorState.tsx; EmptyState.tsx</t>
        </is>
      </c>
      <c r="F6" s="3" t="inlineStr">
        <is>
          <t>FE-004</t>
        </is>
      </c>
      <c r="G6" s="4" t="inlineStr">
        <is>
          <t>Não iniciada</t>
        </is>
      </c>
      <c r="H6" s="3" t="inlineStr">
        <is>
          <t>Estados reutilizáveis implementados</t>
        </is>
      </c>
      <c r="I6" s="3" t="inlineStr">
        <is>
          <t>Frontend</t>
        </is>
      </c>
      <c r="J6" s="9" t="inlineStr">
        <is>
          <t>Média</t>
        </is>
      </c>
      <c r="K6" s="8" t="inlineStr"/>
      <c r="L6" s="8" t="inlineStr"/>
      <c r="M6" s="3" t="inlineStr"/>
    </row>
    <row r="7">
      <c r="A7" s="3" t="inlineStr">
        <is>
          <t>FE-009</t>
        </is>
      </c>
      <c r="B7" s="4" t="n">
        <v>1</v>
      </c>
      <c r="C7" s="3" t="inlineStr">
        <is>
          <t>Frontend</t>
        </is>
      </c>
      <c r="D7" s="3" t="inlineStr">
        <is>
          <t>Criar componentes-base reutilizáveis</t>
        </is>
      </c>
      <c r="E7" s="3" t="inlineStr">
        <is>
          <t>SummaryCard.tsx; AlertBanner.tsx; FormSection.tsx; EducationPanel.tsx</t>
        </is>
      </c>
      <c r="F7" s="3" t="inlineStr">
        <is>
          <t>FE-004</t>
        </is>
      </c>
      <c r="G7" s="4" t="inlineStr">
        <is>
          <t>Não iniciada</t>
        </is>
      </c>
      <c r="H7" s="3" t="inlineStr">
        <is>
          <t>Componentes-base disponíveis e reutilizáveis</t>
        </is>
      </c>
      <c r="I7" s="3" t="inlineStr">
        <is>
          <t>Frontend</t>
        </is>
      </c>
      <c r="J7" s="7" t="inlineStr">
        <is>
          <t>Alta</t>
        </is>
      </c>
      <c r="K7" s="8" t="inlineStr"/>
      <c r="L7" s="8" t="inlineStr"/>
      <c r="M7" s="3" t="inlineStr"/>
    </row>
    <row r="8">
      <c r="A8" s="3" t="inlineStr">
        <is>
          <t>BE-003</t>
        </is>
      </c>
      <c r="B8" s="4" t="n">
        <v>1</v>
      </c>
      <c r="C8" s="3" t="inlineStr">
        <is>
          <t>Backend</t>
        </is>
      </c>
      <c r="D8" s="3" t="inlineStr">
        <is>
          <t>Padronizar contrato-base de resposta</t>
        </is>
      </c>
      <c r="E8" s="3" t="inlineStr">
        <is>
          <t>response_models.py; exceptions.py</t>
        </is>
      </c>
      <c r="F8" s="3" t="inlineStr">
        <is>
          <t>BE-001</t>
        </is>
      </c>
      <c r="G8" s="4" t="inlineStr">
        <is>
          <t>Não iniciada</t>
        </is>
      </c>
      <c r="H8" s="3" t="inlineStr">
        <is>
          <t>Sucesso e erro seguem padrão único</t>
        </is>
      </c>
      <c r="I8" s="3" t="inlineStr">
        <is>
          <t>Backend</t>
        </is>
      </c>
      <c r="J8" s="7" t="inlineStr">
        <is>
          <t>Alta</t>
        </is>
      </c>
      <c r="K8" s="8" t="inlineStr"/>
      <c r="L8" s="8" t="inlineStr"/>
      <c r="M8" s="3" t="inlineStr"/>
    </row>
    <row r="9">
      <c r="A9" s="3" t="inlineStr">
        <is>
          <t>BE-004</t>
        </is>
      </c>
      <c r="B9" s="4" t="n">
        <v>1</v>
      </c>
      <c r="C9" s="3" t="inlineStr">
        <is>
          <t>Backend</t>
        </is>
      </c>
      <c r="D9" s="3" t="inlineStr">
        <is>
          <t>Padronizar tratamento inicial de erro</t>
        </is>
      </c>
      <c r="E9" s="3" t="inlineStr">
        <is>
          <t>exception_handlers.py</t>
        </is>
      </c>
      <c r="F9" s="3" t="inlineStr">
        <is>
          <t>BE-003</t>
        </is>
      </c>
      <c r="G9" s="4" t="inlineStr">
        <is>
          <t>Não iniciada</t>
        </is>
      </c>
      <c r="H9" s="3" t="inlineStr">
        <is>
          <t>Validação e erro interno retornam contrato padronizado</t>
        </is>
      </c>
      <c r="I9" s="3" t="inlineStr">
        <is>
          <t>Backend</t>
        </is>
      </c>
      <c r="J9" s="7" t="inlineStr">
        <is>
          <t>Alta</t>
        </is>
      </c>
      <c r="K9" s="8" t="inlineStr"/>
      <c r="L9" s="8" t="inlineStr"/>
      <c r="M9" s="3" t="inlineStr"/>
    </row>
    <row r="10">
      <c r="A10" s="3" t="inlineStr">
        <is>
          <t>QA-002</t>
        </is>
      </c>
      <c r="B10" s="4" t="n">
        <v>1</v>
      </c>
      <c r="C10" s="3" t="inlineStr">
        <is>
          <t>Testes</t>
        </is>
      </c>
      <c r="D10" s="3" t="inlineStr">
        <is>
          <t>Testar contrato-base do backend</t>
        </is>
      </c>
      <c r="E10" s="3" t="inlineStr">
        <is>
          <t>backend/tests/test_response_contract.py</t>
        </is>
      </c>
      <c r="F10" s="3" t="inlineStr">
        <is>
          <t>BE-003, BE-004</t>
        </is>
      </c>
      <c r="G10" s="4" t="inlineStr">
        <is>
          <t>Não iniciada</t>
        </is>
      </c>
      <c r="H10" s="3" t="inlineStr">
        <is>
          <t>Contrato-base de sucesso e erro protegido por testes</t>
        </is>
      </c>
      <c r="I10" s="3" t="inlineStr">
        <is>
          <t>QA / Backend</t>
        </is>
      </c>
      <c r="J10" s="7" t="inlineStr">
        <is>
          <t>Alta</t>
        </is>
      </c>
      <c r="K10" s="8" t="inlineStr"/>
      <c r="L10" s="8" t="inlineStr"/>
      <c r="M10" s="3" t="inlineStr"/>
    </row>
    <row r="11">
      <c r="A11" s="3" t="inlineStr">
        <is>
          <t>DOC-002</t>
        </is>
      </c>
      <c r="B11" s="4" t="n">
        <v>1</v>
      </c>
      <c r="C11" s="3" t="inlineStr">
        <is>
          <t>Documentação</t>
        </is>
      </c>
      <c r="D11" s="3" t="inlineStr">
        <is>
          <t>Atualizar documentação da arquitetura inicial</t>
        </is>
      </c>
      <c r="E11" s="3" t="inlineStr">
        <is>
          <t>docs/architecture.md; README.md</t>
        </is>
      </c>
      <c r="F11" s="3" t="inlineStr">
        <is>
          <t>FE-007, BE-003</t>
        </is>
      </c>
      <c r="G11" s="4" t="inlineStr">
        <is>
          <t>Não iniciada</t>
        </is>
      </c>
      <c r="H11" s="3" t="inlineStr">
        <is>
          <t>Arquitetura inicial e padrão de resposta documentados</t>
        </is>
      </c>
      <c r="I11" s="3" t="inlineStr">
        <is>
          <t>Documentação</t>
        </is>
      </c>
      <c r="J11" s="9" t="inlineStr">
        <is>
          <t>Média</t>
        </is>
      </c>
      <c r="K11" s="8" t="inlineStr"/>
      <c r="L11" s="8" t="inlineStr"/>
      <c r="M11" s="3" t="inlineStr"/>
    </row>
  </sheetData>
  <autoFilter ref="A1:M11"/>
  <dataValidations count="1">
    <dataValidation sqref="G2:G11" showDropDown="0" showInputMessage="0" showErrorMessage="0" allowBlank="0" type="list">
      <formula1>"Não iniciada,Em andamento,Bloqueada,Em validação,Concluída"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2" customWidth="1" min="4" max="4"/>
    <col width="44" customWidth="1" min="5" max="5"/>
    <col width="22" customWidth="1" min="6" max="6"/>
    <col width="16" customWidth="1" min="7" max="7"/>
    <col width="38" customWidth="1" min="8" max="8"/>
    <col width="22" customWidth="1" min="9" max="9"/>
    <col width="12" customWidth="1" min="10" max="10"/>
    <col width="12" customWidth="1" min="11" max="11"/>
    <col width="14" customWidth="1" min="12" max="12"/>
    <col width="28" customWidth="1" min="13" max="13"/>
  </cols>
  <sheetData>
    <row r="1">
      <c r="A1" s="6" t="inlineStr">
        <is>
          <t>ID</t>
        </is>
      </c>
      <c r="B1" s="6" t="inlineStr">
        <is>
          <t>Sprint</t>
        </is>
      </c>
      <c r="C1" s="6" t="inlineStr">
        <is>
          <t>Área</t>
        </is>
      </c>
      <c r="D1" s="6" t="inlineStr">
        <is>
          <t>Descrição</t>
        </is>
      </c>
      <c r="E1" s="6" t="inlineStr">
        <is>
          <t>Arquivos principais</t>
        </is>
      </c>
      <c r="F1" s="6" t="inlineStr">
        <is>
          <t>Dependências</t>
        </is>
      </c>
      <c r="G1" s="6" t="inlineStr">
        <is>
          <t>Status</t>
        </is>
      </c>
      <c r="H1" s="6" t="inlineStr">
        <is>
          <t>Critério de aceite</t>
        </is>
      </c>
      <c r="I1" s="6" t="inlineStr">
        <is>
          <t>Responsável principal</t>
        </is>
      </c>
      <c r="J1" s="6" t="inlineStr">
        <is>
          <t>Prioridade</t>
        </is>
      </c>
      <c r="K1" s="6" t="inlineStr">
        <is>
          <t>Data início</t>
        </is>
      </c>
      <c r="L1" s="6" t="inlineStr">
        <is>
          <t>Data conclusão</t>
        </is>
      </c>
      <c r="M1" s="6" t="inlineStr">
        <is>
          <t>Observações/Bloqueios</t>
        </is>
      </c>
    </row>
    <row r="2">
      <c r="A2" s="3" t="inlineStr">
        <is>
          <t>BE-005</t>
        </is>
      </c>
      <c r="B2" s="4" t="n">
        <v>2</v>
      </c>
      <c r="C2" s="3" t="inlineStr">
        <is>
          <t>Backend</t>
        </is>
      </c>
      <c r="D2" s="3" t="inlineStr">
        <is>
          <t>Criar schemas do módulo de juros</t>
        </is>
      </c>
      <c r="E2" s="3" t="inlineStr">
        <is>
          <t>backend/app/schemas/interest.py</t>
        </is>
      </c>
      <c r="F2" s="3" t="inlineStr">
        <is>
          <t>BE-003</t>
        </is>
      </c>
      <c r="G2" s="4" t="inlineStr">
        <is>
          <t>Não iniciada</t>
        </is>
      </c>
      <c r="H2" s="3" t="inlineStr">
        <is>
          <t>Payload de entrada e saída formalizados</t>
        </is>
      </c>
      <c r="I2" s="3" t="inlineStr">
        <is>
          <t>Backend</t>
        </is>
      </c>
      <c r="J2" s="7" t="inlineStr">
        <is>
          <t>Alta</t>
        </is>
      </c>
      <c r="K2" s="8" t="inlineStr"/>
      <c r="L2" s="8" t="inlineStr"/>
      <c r="M2" s="3" t="inlineStr"/>
    </row>
    <row r="3">
      <c r="A3" s="3" t="inlineStr">
        <is>
          <t>BE-006</t>
        </is>
      </c>
      <c r="B3" s="4" t="n">
        <v>2</v>
      </c>
      <c r="C3" s="3" t="inlineStr">
        <is>
          <t>Backend</t>
        </is>
      </c>
      <c r="D3" s="3" t="inlineStr">
        <is>
          <t>Implementar domínio de juros simples</t>
        </is>
      </c>
      <c r="E3" s="3" t="inlineStr">
        <is>
          <t>backend/app/domain/interest/simple_interest.py</t>
        </is>
      </c>
      <c r="F3" s="3" t="inlineStr">
        <is>
          <t>BE-005</t>
        </is>
      </c>
      <c r="G3" s="4" t="inlineStr">
        <is>
          <t>Não iniciada</t>
        </is>
      </c>
      <c r="H3" s="3" t="inlineStr">
        <is>
          <t>Função pura calcula montante e tabela temporal corretamente</t>
        </is>
      </c>
      <c r="I3" s="3" t="inlineStr">
        <is>
          <t>Backend</t>
        </is>
      </c>
      <c r="J3" s="7" t="inlineStr">
        <is>
          <t>Alta</t>
        </is>
      </c>
      <c r="K3" s="8" t="inlineStr"/>
      <c r="L3" s="8" t="inlineStr"/>
      <c r="M3" s="3" t="inlineStr"/>
    </row>
    <row r="4">
      <c r="A4" s="3" t="inlineStr">
        <is>
          <t>BE-007</t>
        </is>
      </c>
      <c r="B4" s="4" t="n">
        <v>2</v>
      </c>
      <c r="C4" s="3" t="inlineStr">
        <is>
          <t>Backend</t>
        </is>
      </c>
      <c r="D4" s="3" t="inlineStr">
        <is>
          <t>Implementar domínio de juros compostos</t>
        </is>
      </c>
      <c r="E4" s="3" t="inlineStr">
        <is>
          <t>backend/app/domain/interest/compound_interest.py</t>
        </is>
      </c>
      <c r="F4" s="3" t="inlineStr">
        <is>
          <t>BE-005</t>
        </is>
      </c>
      <c r="G4" s="4" t="inlineStr">
        <is>
          <t>Não iniciada</t>
        </is>
      </c>
      <c r="H4" s="3" t="inlineStr">
        <is>
          <t>Função pura calcula capitalização e tabela temporal corretamente</t>
        </is>
      </c>
      <c r="I4" s="3" t="inlineStr">
        <is>
          <t>Backend</t>
        </is>
      </c>
      <c r="J4" s="7" t="inlineStr">
        <is>
          <t>Alta</t>
        </is>
      </c>
      <c r="K4" s="8" t="inlineStr"/>
      <c r="L4" s="8" t="inlineStr"/>
      <c r="M4" s="3" t="inlineStr"/>
    </row>
    <row r="5">
      <c r="A5" s="3" t="inlineStr">
        <is>
          <t>BE-008</t>
        </is>
      </c>
      <c r="B5" s="4" t="n">
        <v>2</v>
      </c>
      <c r="C5" s="3" t="inlineStr">
        <is>
          <t>Backend</t>
        </is>
      </c>
      <c r="D5" s="3" t="inlineStr">
        <is>
          <t>Implementar serviço comparativo de juros</t>
        </is>
      </c>
      <c r="E5" s="3" t="inlineStr">
        <is>
          <t>backend/app/services/interest_service.py</t>
        </is>
      </c>
      <c r="F5" s="3" t="inlineStr">
        <is>
          <t>BE-006, BE-007</t>
        </is>
      </c>
      <c r="G5" s="4" t="inlineStr">
        <is>
          <t>Não iniciada</t>
        </is>
      </c>
      <c r="H5" s="3" t="inlineStr">
        <is>
          <t>Serviço monta summary, tables, charts, interpretation, alerts</t>
        </is>
      </c>
      <c r="I5" s="3" t="inlineStr">
        <is>
          <t>Backend</t>
        </is>
      </c>
      <c r="J5" s="7" t="inlineStr">
        <is>
          <t>Alta</t>
        </is>
      </c>
      <c r="K5" s="8" t="inlineStr"/>
      <c r="L5" s="8" t="inlineStr"/>
      <c r="M5" s="3" t="inlineStr"/>
    </row>
    <row r="6">
      <c r="A6" s="3" t="inlineStr">
        <is>
          <t>BE-009</t>
        </is>
      </c>
      <c r="B6" s="4" t="n">
        <v>2</v>
      </c>
      <c r="C6" s="3" t="inlineStr">
        <is>
          <t>Backend</t>
        </is>
      </c>
      <c r="D6" s="3" t="inlineStr">
        <is>
          <t>Criar endpoint do módulo de juros</t>
        </is>
      </c>
      <c r="E6" s="3" t="inlineStr">
        <is>
          <t>backend/app/api/routes/interest.py</t>
        </is>
      </c>
      <c r="F6" s="3" t="inlineStr">
        <is>
          <t>BE-008</t>
        </is>
      </c>
      <c r="G6" s="4" t="inlineStr">
        <is>
          <t>Não iniciada</t>
        </is>
      </c>
      <c r="H6" s="3" t="inlineStr">
        <is>
          <t>POST /api/v1/interest/simple-compound funcional</t>
        </is>
      </c>
      <c r="I6" s="3" t="inlineStr">
        <is>
          <t>Backend</t>
        </is>
      </c>
      <c r="J6" s="7" t="inlineStr">
        <is>
          <t>Alta</t>
        </is>
      </c>
      <c r="K6" s="8" t="inlineStr"/>
      <c r="L6" s="8" t="inlineStr"/>
      <c r="M6" s="3" t="inlineStr"/>
    </row>
    <row r="7">
      <c r="A7" s="3" t="inlineStr">
        <is>
          <t>FE-010</t>
        </is>
      </c>
      <c r="B7" s="4" t="n">
        <v>2</v>
      </c>
      <c r="C7" s="3" t="inlineStr">
        <is>
          <t>Frontend</t>
        </is>
      </c>
      <c r="D7" s="3" t="inlineStr">
        <is>
          <t>Criar página funcional do módulo de juros</t>
        </is>
      </c>
      <c r="E7" s="3" t="inlineStr">
        <is>
          <t>frontend/src/app/juros/page.tsx</t>
        </is>
      </c>
      <c r="F7" s="3" t="inlineStr">
        <is>
          <t>FE-007</t>
        </is>
      </c>
      <c r="G7" s="4" t="inlineStr">
        <is>
          <t>Não iniciada</t>
        </is>
      </c>
      <c r="H7" s="3" t="inlineStr">
        <is>
          <t>Página do módulo estruturada e pronta para integração</t>
        </is>
      </c>
      <c r="I7" s="3" t="inlineStr">
        <is>
          <t>Frontend</t>
        </is>
      </c>
      <c r="J7" s="7" t="inlineStr">
        <is>
          <t>Alta</t>
        </is>
      </c>
      <c r="K7" s="8" t="inlineStr"/>
      <c r="L7" s="8" t="inlineStr"/>
      <c r="M7" s="3" t="inlineStr"/>
    </row>
    <row r="8">
      <c r="A8" s="3" t="inlineStr">
        <is>
          <t>FE-011</t>
        </is>
      </c>
      <c r="B8" s="4" t="n">
        <v>2</v>
      </c>
      <c r="C8" s="3" t="inlineStr">
        <is>
          <t>Frontend</t>
        </is>
      </c>
      <c r="D8" s="3" t="inlineStr">
        <is>
          <t>Criar formulário do módulo de juros</t>
        </is>
      </c>
      <c r="E8" s="3" t="inlineStr">
        <is>
          <t>InterestForm.tsx</t>
        </is>
      </c>
      <c r="F8" s="3" t="inlineStr">
        <is>
          <t>FE-010</t>
        </is>
      </c>
      <c r="G8" s="4" t="inlineStr">
        <is>
          <t>Não iniciada</t>
        </is>
      </c>
      <c r="H8" s="3" t="inlineStr">
        <is>
          <t>Formulário envia dados válidos para a API</t>
        </is>
      </c>
      <c r="I8" s="3" t="inlineStr">
        <is>
          <t>Frontend</t>
        </is>
      </c>
      <c r="J8" s="7" t="inlineStr">
        <is>
          <t>Alta</t>
        </is>
      </c>
      <c r="K8" s="8" t="inlineStr"/>
      <c r="L8" s="8" t="inlineStr"/>
      <c r="M8" s="3" t="inlineStr"/>
    </row>
    <row r="9">
      <c r="A9" s="3" t="inlineStr">
        <is>
          <t>FE-012</t>
        </is>
      </c>
      <c r="B9" s="4" t="n">
        <v>2</v>
      </c>
      <c r="C9" s="3" t="inlineStr">
        <is>
          <t>Frontend</t>
        </is>
      </c>
      <c r="D9" s="3" t="inlineStr">
        <is>
          <t>Criar visualização do resultado de juros</t>
        </is>
      </c>
      <c r="E9" s="3" t="inlineStr">
        <is>
          <t>InterestSummaryCards.tsx; InterestEvolutionTable.tsx; InterestComparisonChart.tsx</t>
        </is>
      </c>
      <c r="F9" s="3" t="inlineStr">
        <is>
          <t>FE-011, BE-009</t>
        </is>
      </c>
      <c r="G9" s="4" t="inlineStr">
        <is>
          <t>Não iniciada</t>
        </is>
      </c>
      <c r="H9" s="3" t="inlineStr">
        <is>
          <t>Cards, tabela, gráfico, alertas e interpretação renderizados</t>
        </is>
      </c>
      <c r="I9" s="3" t="inlineStr">
        <is>
          <t>Frontend</t>
        </is>
      </c>
      <c r="J9" s="7" t="inlineStr">
        <is>
          <t>Alta</t>
        </is>
      </c>
      <c r="K9" s="8" t="inlineStr"/>
      <c r="L9" s="8" t="inlineStr"/>
      <c r="M9" s="3" t="inlineStr"/>
    </row>
    <row r="10">
      <c r="A10" s="3" t="inlineStr">
        <is>
          <t>QA-003</t>
        </is>
      </c>
      <c r="B10" s="4" t="n">
        <v>2</v>
      </c>
      <c r="C10" s="3" t="inlineStr">
        <is>
          <t>Testes</t>
        </is>
      </c>
      <c r="D10" s="3" t="inlineStr">
        <is>
          <t>Testes unitários do domínio de juros</t>
        </is>
      </c>
      <c r="E10" s="3" t="inlineStr">
        <is>
          <t>test_simple_interest.py; test_compound_interest.py</t>
        </is>
      </c>
      <c r="F10" s="3" t="inlineStr">
        <is>
          <t>BE-006, BE-007</t>
        </is>
      </c>
      <c r="G10" s="4" t="inlineStr">
        <is>
          <t>Não iniciada</t>
        </is>
      </c>
      <c r="H10" s="3" t="inlineStr">
        <is>
          <t>Fórmulas protegidas por testes de domínio</t>
        </is>
      </c>
      <c r="I10" s="3" t="inlineStr">
        <is>
          <t>QA / Backend</t>
        </is>
      </c>
      <c r="J10" s="7" t="inlineStr">
        <is>
          <t>Alta</t>
        </is>
      </c>
      <c r="K10" s="8" t="inlineStr"/>
      <c r="L10" s="8" t="inlineStr"/>
      <c r="M10" s="3" t="inlineStr"/>
    </row>
    <row r="11">
      <c r="A11" s="3" t="inlineStr">
        <is>
          <t>QA-004</t>
        </is>
      </c>
      <c r="B11" s="4" t="n">
        <v>2</v>
      </c>
      <c r="C11" s="3" t="inlineStr">
        <is>
          <t>Testes</t>
        </is>
      </c>
      <c r="D11" s="3" t="inlineStr">
        <is>
          <t>Teste de integração da rota de juros</t>
        </is>
      </c>
      <c r="E11" s="3" t="inlineStr">
        <is>
          <t>backend/tests/api/test_interest_route.py</t>
        </is>
      </c>
      <c r="F11" s="3" t="inlineStr">
        <is>
          <t>BE-009</t>
        </is>
      </c>
      <c r="G11" s="4" t="inlineStr">
        <is>
          <t>Não iniciada</t>
        </is>
      </c>
      <c r="H11" s="3" t="inlineStr">
        <is>
          <t>Rota validada com contrato e estrutura corretos</t>
        </is>
      </c>
      <c r="I11" s="3" t="inlineStr">
        <is>
          <t>QA / Backend</t>
        </is>
      </c>
      <c r="J11" s="7" t="inlineStr">
        <is>
          <t>Alta</t>
        </is>
      </c>
      <c r="K11" s="8" t="inlineStr"/>
      <c r="L11" s="8" t="inlineStr"/>
      <c r="M11" s="3" t="inlineStr"/>
    </row>
    <row r="12">
      <c r="A12" s="3" t="inlineStr">
        <is>
          <t>QA-005</t>
        </is>
      </c>
      <c r="B12" s="4" t="n">
        <v>2</v>
      </c>
      <c r="C12" s="3" t="inlineStr">
        <is>
          <t>Testes</t>
        </is>
      </c>
      <c r="D12" s="3" t="inlineStr">
        <is>
          <t>Testes básicos do frontend do módulo de juros</t>
        </is>
      </c>
      <c r="E12" s="3" t="inlineStr">
        <is>
          <t>juros/page.test.tsx; InterestForm.test.tsx</t>
        </is>
      </c>
      <c r="F12" s="3" t="inlineStr">
        <is>
          <t>FE-012</t>
        </is>
      </c>
      <c r="G12" s="4" t="inlineStr">
        <is>
          <t>Não iniciada</t>
        </is>
      </c>
      <c r="H12" s="3" t="inlineStr">
        <is>
          <t>Formulário e exibição de resultado cobertos</t>
        </is>
      </c>
      <c r="I12" s="3" t="inlineStr">
        <is>
          <t>QA / Frontend</t>
        </is>
      </c>
      <c r="J12" s="9" t="inlineStr">
        <is>
          <t>Média</t>
        </is>
      </c>
      <c r="K12" s="8" t="inlineStr"/>
      <c r="L12" s="8" t="inlineStr"/>
      <c r="M12" s="3" t="inlineStr"/>
    </row>
    <row r="13">
      <c r="A13" s="3" t="inlineStr">
        <is>
          <t>DOC-003</t>
        </is>
      </c>
      <c r="B13" s="4" t="n">
        <v>2</v>
      </c>
      <c r="C13" s="3" t="inlineStr">
        <is>
          <t>Documentação</t>
        </is>
      </c>
      <c r="D13" s="3" t="inlineStr">
        <is>
          <t>Documentar módulo de juros</t>
        </is>
      </c>
      <c r="E13" s="3" t="inlineStr">
        <is>
          <t>docs/api-contract.md; docs/formulas.md; docs/user-guide.md</t>
        </is>
      </c>
      <c r="F13" s="3" t="inlineStr">
        <is>
          <t>BE-009, FE-012</t>
        </is>
      </c>
      <c r="G13" s="4" t="inlineStr">
        <is>
          <t>Não iniciada</t>
        </is>
      </c>
      <c r="H13" s="3" t="inlineStr">
        <is>
          <t>Endpoint, fórmula e uso documentados</t>
        </is>
      </c>
      <c r="I13" s="3" t="inlineStr">
        <is>
          <t>Documentação</t>
        </is>
      </c>
      <c r="J13" s="9" t="inlineStr">
        <is>
          <t>Média</t>
        </is>
      </c>
      <c r="K13" s="8" t="inlineStr"/>
      <c r="L13" s="8" t="inlineStr"/>
      <c r="M13" s="3" t="inlineStr"/>
    </row>
  </sheetData>
  <autoFilter ref="A1:M13"/>
  <dataValidations count="1">
    <dataValidation sqref="G2:G13" showDropDown="0" showInputMessage="0" showErrorMessage="0" allowBlank="0" type="list">
      <formula1>"Não iniciada,Em andamento,Bloqueada,Em validação,Concluída"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2" customWidth="1" min="4" max="4"/>
    <col width="44" customWidth="1" min="5" max="5"/>
    <col width="22" customWidth="1" min="6" max="6"/>
    <col width="16" customWidth="1" min="7" max="7"/>
    <col width="38" customWidth="1" min="8" max="8"/>
    <col width="22" customWidth="1" min="9" max="9"/>
    <col width="12" customWidth="1" min="10" max="10"/>
    <col width="12" customWidth="1" min="11" max="11"/>
    <col width="14" customWidth="1" min="12" max="12"/>
    <col width="28" customWidth="1" min="13" max="13"/>
  </cols>
  <sheetData>
    <row r="1">
      <c r="A1" s="6" t="inlineStr">
        <is>
          <t>ID</t>
        </is>
      </c>
      <c r="B1" s="6" t="inlineStr">
        <is>
          <t>Sprint</t>
        </is>
      </c>
      <c r="C1" s="6" t="inlineStr">
        <is>
          <t>Área</t>
        </is>
      </c>
      <c r="D1" s="6" t="inlineStr">
        <is>
          <t>Descrição</t>
        </is>
      </c>
      <c r="E1" s="6" t="inlineStr">
        <is>
          <t>Arquivos principais</t>
        </is>
      </c>
      <c r="F1" s="6" t="inlineStr">
        <is>
          <t>Dependências</t>
        </is>
      </c>
      <c r="G1" s="6" t="inlineStr">
        <is>
          <t>Status</t>
        </is>
      </c>
      <c r="H1" s="6" t="inlineStr">
        <is>
          <t>Critério de aceite</t>
        </is>
      </c>
      <c r="I1" s="6" t="inlineStr">
        <is>
          <t>Responsável principal</t>
        </is>
      </c>
      <c r="J1" s="6" t="inlineStr">
        <is>
          <t>Prioridade</t>
        </is>
      </c>
      <c r="K1" s="6" t="inlineStr">
        <is>
          <t>Data início</t>
        </is>
      </c>
      <c r="L1" s="6" t="inlineStr">
        <is>
          <t>Data conclusão</t>
        </is>
      </c>
      <c r="M1" s="6" t="inlineStr">
        <is>
          <t>Observações/Bloqueios</t>
        </is>
      </c>
    </row>
    <row r="2">
      <c r="A2" s="3" t="inlineStr">
        <is>
          <t>BE-010</t>
        </is>
      </c>
      <c r="B2" s="4" t="n">
        <v>3</v>
      </c>
      <c r="C2" s="3" t="inlineStr">
        <is>
          <t>Backend</t>
        </is>
      </c>
      <c r="D2" s="3" t="inlineStr">
        <is>
          <t>Criar schemas do módulo de amortização</t>
        </is>
      </c>
      <c r="E2" s="3" t="inlineStr">
        <is>
          <t>backend/app/schemas/amortization.py</t>
        </is>
      </c>
      <c r="F2" s="3" t="inlineStr">
        <is>
          <t>BE-003</t>
        </is>
      </c>
      <c r="G2" s="4" t="inlineStr">
        <is>
          <t>Não iniciada</t>
        </is>
      </c>
      <c r="H2" s="3" t="inlineStr">
        <is>
          <t>Contratos de entrada e saída definidos</t>
        </is>
      </c>
      <c r="I2" s="3" t="inlineStr">
        <is>
          <t>Backend</t>
        </is>
      </c>
      <c r="J2" s="7" t="inlineStr">
        <is>
          <t>Alta</t>
        </is>
      </c>
      <c r="K2" s="8" t="inlineStr"/>
      <c r="L2" s="8" t="inlineStr"/>
      <c r="M2" s="3" t="inlineStr"/>
    </row>
    <row r="3">
      <c r="A3" s="3" t="inlineStr">
        <is>
          <t>BE-011</t>
        </is>
      </c>
      <c r="B3" s="4" t="n">
        <v>3</v>
      </c>
      <c r="C3" s="3" t="inlineStr">
        <is>
          <t>Backend</t>
        </is>
      </c>
      <c r="D3" s="3" t="inlineStr">
        <is>
          <t>Implementar domínio Price</t>
        </is>
      </c>
      <c r="E3" s="3" t="inlineStr">
        <is>
          <t>backend/app/domain/amortization/price.py</t>
        </is>
      </c>
      <c r="F3" s="3" t="inlineStr">
        <is>
          <t>BE-010</t>
        </is>
      </c>
      <c r="G3" s="4" t="inlineStr">
        <is>
          <t>Não iniciada</t>
        </is>
      </c>
      <c r="H3" s="3" t="inlineStr">
        <is>
          <t>Cálculo Price correto por período</t>
        </is>
      </c>
      <c r="I3" s="3" t="inlineStr">
        <is>
          <t>Backend</t>
        </is>
      </c>
      <c r="J3" s="7" t="inlineStr">
        <is>
          <t>Alta</t>
        </is>
      </c>
      <c r="K3" s="8" t="inlineStr"/>
      <c r="L3" s="8" t="inlineStr"/>
      <c r="M3" s="3" t="inlineStr"/>
    </row>
    <row r="4">
      <c r="A4" s="3" t="inlineStr">
        <is>
          <t>BE-012</t>
        </is>
      </c>
      <c r="B4" s="4" t="n">
        <v>3</v>
      </c>
      <c r="C4" s="3" t="inlineStr">
        <is>
          <t>Backend</t>
        </is>
      </c>
      <c r="D4" s="3" t="inlineStr">
        <is>
          <t>Implementar domínio SAC</t>
        </is>
      </c>
      <c r="E4" s="3" t="inlineStr">
        <is>
          <t>backend/app/domain/amortization/sac.py</t>
        </is>
      </c>
      <c r="F4" s="3" t="inlineStr">
        <is>
          <t>BE-010</t>
        </is>
      </c>
      <c r="G4" s="4" t="inlineStr">
        <is>
          <t>Não iniciada</t>
        </is>
      </c>
      <c r="H4" s="3" t="inlineStr">
        <is>
          <t>Cálculo SAC correto por período</t>
        </is>
      </c>
      <c r="I4" s="3" t="inlineStr">
        <is>
          <t>Backend</t>
        </is>
      </c>
      <c r="J4" s="7" t="inlineStr">
        <is>
          <t>Alta</t>
        </is>
      </c>
      <c r="K4" s="8" t="inlineStr"/>
      <c r="L4" s="8" t="inlineStr"/>
      <c r="M4" s="3" t="inlineStr"/>
    </row>
    <row r="5">
      <c r="A5" s="3" t="inlineStr">
        <is>
          <t>BE-013</t>
        </is>
      </c>
      <c r="B5" s="4" t="n">
        <v>3</v>
      </c>
      <c r="C5" s="3" t="inlineStr">
        <is>
          <t>Backend</t>
        </is>
      </c>
      <c r="D5" s="3" t="inlineStr">
        <is>
          <t>Implementar serviço comparativo Price/SAC</t>
        </is>
      </c>
      <c r="E5" s="3" t="inlineStr">
        <is>
          <t>backend/app/services/amortization_service.py</t>
        </is>
      </c>
      <c r="F5" s="3" t="inlineStr">
        <is>
          <t>BE-011, BE-012</t>
        </is>
      </c>
      <c r="G5" s="4" t="inlineStr">
        <is>
          <t>Não iniciada</t>
        </is>
      </c>
      <c r="H5" s="3" t="inlineStr">
        <is>
          <t>Serviço compara sistemas e estrutura resposta completa</t>
        </is>
      </c>
      <c r="I5" s="3" t="inlineStr">
        <is>
          <t>Backend</t>
        </is>
      </c>
      <c r="J5" s="7" t="inlineStr">
        <is>
          <t>Alta</t>
        </is>
      </c>
      <c r="K5" s="8" t="inlineStr"/>
      <c r="L5" s="8" t="inlineStr"/>
      <c r="M5" s="3" t="inlineStr"/>
    </row>
    <row r="6">
      <c r="A6" s="3" t="inlineStr">
        <is>
          <t>BE-014</t>
        </is>
      </c>
      <c r="B6" s="4" t="n">
        <v>3</v>
      </c>
      <c r="C6" s="3" t="inlineStr">
        <is>
          <t>Backend</t>
        </is>
      </c>
      <c r="D6" s="3" t="inlineStr">
        <is>
          <t>Criar endpoint Price/SAC</t>
        </is>
      </c>
      <c r="E6" s="3" t="inlineStr">
        <is>
          <t>backend/app/api/routes/amortization.py</t>
        </is>
      </c>
      <c r="F6" s="3" t="inlineStr">
        <is>
          <t>BE-013</t>
        </is>
      </c>
      <c r="G6" s="4" t="inlineStr">
        <is>
          <t>Não iniciada</t>
        </is>
      </c>
      <c r="H6" s="3" t="inlineStr">
        <is>
          <t>POST /api/v1/amortization/price-sac funcional</t>
        </is>
      </c>
      <c r="I6" s="3" t="inlineStr">
        <is>
          <t>Backend</t>
        </is>
      </c>
      <c r="J6" s="7" t="inlineStr">
        <is>
          <t>Alta</t>
        </is>
      </c>
      <c r="K6" s="8" t="inlineStr"/>
      <c r="L6" s="8" t="inlineStr"/>
      <c r="M6" s="3" t="inlineStr"/>
    </row>
    <row r="7">
      <c r="A7" s="3" t="inlineStr">
        <is>
          <t>FE-013</t>
        </is>
      </c>
      <c r="B7" s="4" t="n">
        <v>3</v>
      </c>
      <c r="C7" s="3" t="inlineStr">
        <is>
          <t>Frontend</t>
        </is>
      </c>
      <c r="D7" s="3" t="inlineStr">
        <is>
          <t>Criar página funcional de amortização</t>
        </is>
      </c>
      <c r="E7" s="3" t="inlineStr">
        <is>
          <t>frontend/src/app/amortizacao/page.tsx</t>
        </is>
      </c>
      <c r="F7" s="3" t="inlineStr">
        <is>
          <t>FE-007</t>
        </is>
      </c>
      <c r="G7" s="4" t="inlineStr">
        <is>
          <t>Não iniciada</t>
        </is>
      </c>
      <c r="H7" s="3" t="inlineStr">
        <is>
          <t>Página estruturada</t>
        </is>
      </c>
      <c r="I7" s="3" t="inlineStr">
        <is>
          <t>Frontend</t>
        </is>
      </c>
      <c r="J7" s="7" t="inlineStr">
        <is>
          <t>Alta</t>
        </is>
      </c>
      <c r="K7" s="8" t="inlineStr"/>
      <c r="L7" s="8" t="inlineStr"/>
      <c r="M7" s="3" t="inlineStr"/>
    </row>
    <row r="8">
      <c r="A8" s="3" t="inlineStr">
        <is>
          <t>FE-014</t>
        </is>
      </c>
      <c r="B8" s="4" t="n">
        <v>3</v>
      </c>
      <c r="C8" s="3" t="inlineStr">
        <is>
          <t>Frontend</t>
        </is>
      </c>
      <c r="D8" s="3" t="inlineStr">
        <is>
          <t>Criar formulário de amortização</t>
        </is>
      </c>
      <c r="E8" s="3" t="inlineStr">
        <is>
          <t>AmortizationForm.tsx</t>
        </is>
      </c>
      <c r="F8" s="3" t="inlineStr">
        <is>
          <t>FE-013</t>
        </is>
      </c>
      <c r="G8" s="4" t="inlineStr">
        <is>
          <t>Não iniciada</t>
        </is>
      </c>
      <c r="H8" s="3" t="inlineStr">
        <is>
          <t>Formulário envia valor, taxa e prazo corretamente</t>
        </is>
      </c>
      <c r="I8" s="3" t="inlineStr">
        <is>
          <t>Frontend</t>
        </is>
      </c>
      <c r="J8" s="7" t="inlineStr">
        <is>
          <t>Alta</t>
        </is>
      </c>
      <c r="K8" s="8" t="inlineStr"/>
      <c r="L8" s="8" t="inlineStr"/>
      <c r="M8" s="3" t="inlineStr"/>
    </row>
    <row r="9">
      <c r="A9" s="3" t="inlineStr">
        <is>
          <t>FE-015</t>
        </is>
      </c>
      <c r="B9" s="4" t="n">
        <v>3</v>
      </c>
      <c r="C9" s="3" t="inlineStr">
        <is>
          <t>Frontend</t>
        </is>
      </c>
      <c r="D9" s="3" t="inlineStr">
        <is>
          <t>Criar visualização de amortização</t>
        </is>
      </c>
      <c r="E9" s="3" t="inlineStr">
        <is>
          <t>AmortizationSummaryCards.tsx; AmortizationTable.tsx; AmortizationBalanceChart.tsx</t>
        </is>
      </c>
      <c r="F9" s="3" t="inlineStr">
        <is>
          <t>FE-014, BE-014</t>
        </is>
      </c>
      <c r="G9" s="4" t="inlineStr">
        <is>
          <t>Não iniciada</t>
        </is>
      </c>
      <c r="H9" s="3" t="inlineStr">
        <is>
          <t>Comparação, tabela, gráfico e interpretação visíveis</t>
        </is>
      </c>
      <c r="I9" s="3" t="inlineStr">
        <is>
          <t>Frontend</t>
        </is>
      </c>
      <c r="J9" s="7" t="inlineStr">
        <is>
          <t>Alta</t>
        </is>
      </c>
      <c r="K9" s="8" t="inlineStr"/>
      <c r="L9" s="8" t="inlineStr"/>
      <c r="M9" s="3" t="inlineStr"/>
    </row>
    <row r="10">
      <c r="A10" s="3" t="inlineStr">
        <is>
          <t>QA-006</t>
        </is>
      </c>
      <c r="B10" s="4" t="n">
        <v>3</v>
      </c>
      <c r="C10" s="3" t="inlineStr">
        <is>
          <t>Testes</t>
        </is>
      </c>
      <c r="D10" s="3" t="inlineStr">
        <is>
          <t>Testes unitários Price e SAC</t>
        </is>
      </c>
      <c r="E10" s="3" t="inlineStr">
        <is>
          <t>test_price.py; test_sac.py</t>
        </is>
      </c>
      <c r="F10" s="3" t="inlineStr">
        <is>
          <t>BE-011, BE-012</t>
        </is>
      </c>
      <c r="G10" s="4" t="inlineStr">
        <is>
          <t>Não iniciada</t>
        </is>
      </c>
      <c r="H10" s="3" t="inlineStr">
        <is>
          <t>Fórmulas e tabelas protegidas</t>
        </is>
      </c>
      <c r="I10" s="3" t="inlineStr">
        <is>
          <t>QA / Backend</t>
        </is>
      </c>
      <c r="J10" s="7" t="inlineStr">
        <is>
          <t>Alta</t>
        </is>
      </c>
      <c r="K10" s="8" t="inlineStr"/>
      <c r="L10" s="8" t="inlineStr"/>
      <c r="M10" s="3" t="inlineStr"/>
    </row>
    <row r="11">
      <c r="A11" s="3" t="inlineStr">
        <is>
          <t>QA-007</t>
        </is>
      </c>
      <c r="B11" s="4" t="n">
        <v>3</v>
      </c>
      <c r="C11" s="3" t="inlineStr">
        <is>
          <t>Testes</t>
        </is>
      </c>
      <c r="D11" s="3" t="inlineStr">
        <is>
          <t>Teste de integração da rota de amortização</t>
        </is>
      </c>
      <c r="E11" s="3" t="inlineStr">
        <is>
          <t>backend/tests/api/test_amortization_route.py</t>
        </is>
      </c>
      <c r="F11" s="3" t="inlineStr">
        <is>
          <t>BE-014</t>
        </is>
      </c>
      <c r="G11" s="4" t="inlineStr">
        <is>
          <t>Não iniciada</t>
        </is>
      </c>
      <c r="H11" s="3" t="inlineStr">
        <is>
          <t>Contrato e estrutura da rota validados</t>
        </is>
      </c>
      <c r="I11" s="3" t="inlineStr">
        <is>
          <t>QA / Backend</t>
        </is>
      </c>
      <c r="J11" s="7" t="inlineStr">
        <is>
          <t>Alta</t>
        </is>
      </c>
      <c r="K11" s="8" t="inlineStr"/>
      <c r="L11" s="8" t="inlineStr"/>
      <c r="M11" s="3" t="inlineStr"/>
    </row>
    <row r="12">
      <c r="A12" s="3" t="inlineStr">
        <is>
          <t>QA-008</t>
        </is>
      </c>
      <c r="B12" s="4" t="n">
        <v>3</v>
      </c>
      <c r="C12" s="3" t="inlineStr">
        <is>
          <t>Testes</t>
        </is>
      </c>
      <c r="D12" s="3" t="inlineStr">
        <is>
          <t>Testes básicos do frontend de amortização</t>
        </is>
      </c>
      <c r="E12" s="3" t="inlineStr">
        <is>
          <t>frontend/src/app/amortizacao/page.test.tsx</t>
        </is>
      </c>
      <c r="F12" s="3" t="inlineStr">
        <is>
          <t>FE-015</t>
        </is>
      </c>
      <c r="G12" s="4" t="inlineStr">
        <is>
          <t>Não iniciada</t>
        </is>
      </c>
      <c r="H12" s="3" t="inlineStr">
        <is>
          <t>Renderização e submissão do módulo cobertas</t>
        </is>
      </c>
      <c r="I12" s="3" t="inlineStr">
        <is>
          <t>QA / Frontend</t>
        </is>
      </c>
      <c r="J12" s="9" t="inlineStr">
        <is>
          <t>Média</t>
        </is>
      </c>
      <c r="K12" s="8" t="inlineStr"/>
      <c r="L12" s="8" t="inlineStr"/>
      <c r="M12" s="3" t="inlineStr"/>
    </row>
    <row r="13">
      <c r="A13" s="3" t="inlineStr">
        <is>
          <t>DOC-004</t>
        </is>
      </c>
      <c r="B13" s="4" t="n">
        <v>3</v>
      </c>
      <c r="C13" s="3" t="inlineStr">
        <is>
          <t>Documentação</t>
        </is>
      </c>
      <c r="D13" s="3" t="inlineStr">
        <is>
          <t>Documentar amortização</t>
        </is>
      </c>
      <c r="E13" s="3" t="inlineStr">
        <is>
          <t>docs/formulas.md; docs/api-contract.md; docs/user-guide.md</t>
        </is>
      </c>
      <c r="F13" s="3" t="inlineStr">
        <is>
          <t>BE-014, FE-015</t>
        </is>
      </c>
      <c r="G13" s="4" t="inlineStr">
        <is>
          <t>Não iniciada</t>
        </is>
      </c>
      <c r="H13" s="3" t="inlineStr">
        <is>
          <t>Fórmulas, endpoint e uso documentados</t>
        </is>
      </c>
      <c r="I13" s="3" t="inlineStr">
        <is>
          <t>Documentação</t>
        </is>
      </c>
      <c r="J13" s="9" t="inlineStr">
        <is>
          <t>Média</t>
        </is>
      </c>
      <c r="K13" s="8" t="inlineStr"/>
      <c r="L13" s="8" t="inlineStr"/>
      <c r="M13" s="3" t="inlineStr"/>
    </row>
  </sheetData>
  <autoFilter ref="A1:M13"/>
  <dataValidations count="1">
    <dataValidation sqref="G2:G13" showDropDown="0" showInputMessage="0" showErrorMessage="0" allowBlank="0" type="list">
      <formula1>"Não iniciada,Em andamento,Bloqueada,Em validação,Concluída"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2" customWidth="1" min="4" max="4"/>
    <col width="44" customWidth="1" min="5" max="5"/>
    <col width="22" customWidth="1" min="6" max="6"/>
    <col width="16" customWidth="1" min="7" max="7"/>
    <col width="38" customWidth="1" min="8" max="8"/>
    <col width="22" customWidth="1" min="9" max="9"/>
    <col width="12" customWidth="1" min="10" max="10"/>
    <col width="12" customWidth="1" min="11" max="11"/>
    <col width="14" customWidth="1" min="12" max="12"/>
    <col width="28" customWidth="1" min="13" max="13"/>
  </cols>
  <sheetData>
    <row r="1">
      <c r="A1" s="6" t="inlineStr">
        <is>
          <t>ID</t>
        </is>
      </c>
      <c r="B1" s="6" t="inlineStr">
        <is>
          <t>Sprint</t>
        </is>
      </c>
      <c r="C1" s="6" t="inlineStr">
        <is>
          <t>Área</t>
        </is>
      </c>
      <c r="D1" s="6" t="inlineStr">
        <is>
          <t>Descrição</t>
        </is>
      </c>
      <c r="E1" s="6" t="inlineStr">
        <is>
          <t>Arquivos principais</t>
        </is>
      </c>
      <c r="F1" s="6" t="inlineStr">
        <is>
          <t>Dependências</t>
        </is>
      </c>
      <c r="G1" s="6" t="inlineStr">
        <is>
          <t>Status</t>
        </is>
      </c>
      <c r="H1" s="6" t="inlineStr">
        <is>
          <t>Critério de aceite</t>
        </is>
      </c>
      <c r="I1" s="6" t="inlineStr">
        <is>
          <t>Responsável principal</t>
        </is>
      </c>
      <c r="J1" s="6" t="inlineStr">
        <is>
          <t>Prioridade</t>
        </is>
      </c>
      <c r="K1" s="6" t="inlineStr">
        <is>
          <t>Data início</t>
        </is>
      </c>
      <c r="L1" s="6" t="inlineStr">
        <is>
          <t>Data conclusão</t>
        </is>
      </c>
      <c r="M1" s="6" t="inlineStr">
        <is>
          <t>Observações/Bloqueios</t>
        </is>
      </c>
    </row>
    <row r="2">
      <c r="A2" s="3" t="inlineStr">
        <is>
          <t>BE-015</t>
        </is>
      </c>
      <c r="B2" s="4" t="n">
        <v>4</v>
      </c>
      <c r="C2" s="3" t="inlineStr">
        <is>
          <t>Backend</t>
        </is>
      </c>
      <c r="D2" s="3" t="inlineStr">
        <is>
          <t>Criar schemas do Diagnóstico</t>
        </is>
      </c>
      <c r="E2" s="3" t="inlineStr">
        <is>
          <t>backend/app/schemas/diagnostic.py</t>
        </is>
      </c>
      <c r="F2" s="3" t="inlineStr">
        <is>
          <t>BE-003</t>
        </is>
      </c>
      <c r="G2" s="4" t="inlineStr">
        <is>
          <t>Não iniciada</t>
        </is>
      </c>
      <c r="H2" s="3" t="inlineStr">
        <is>
          <t>Contratos do diagnóstico definidos</t>
        </is>
      </c>
      <c r="I2" s="3" t="inlineStr">
        <is>
          <t>Backend</t>
        </is>
      </c>
      <c r="J2" s="7" t="inlineStr">
        <is>
          <t>Alta</t>
        </is>
      </c>
      <c r="K2" s="8" t="inlineStr"/>
      <c r="L2" s="8" t="inlineStr"/>
      <c r="M2" s="3" t="inlineStr"/>
    </row>
    <row r="3">
      <c r="A3" s="3" t="inlineStr">
        <is>
          <t>BE-016</t>
        </is>
      </c>
      <c r="B3" s="4" t="n">
        <v>4</v>
      </c>
      <c r="C3" s="3" t="inlineStr">
        <is>
          <t>Backend</t>
        </is>
      </c>
      <c r="D3" s="3" t="inlineStr">
        <is>
          <t>Implementar domínio do Diagnóstico</t>
        </is>
      </c>
      <c r="E3" s="3" t="inlineStr">
        <is>
          <t>financial_health.py</t>
        </is>
      </c>
      <c r="F3" s="3" t="inlineStr">
        <is>
          <t>BE-015</t>
        </is>
      </c>
      <c r="G3" s="4" t="inlineStr">
        <is>
          <t>Não iniciada</t>
        </is>
      </c>
      <c r="H3" s="3" t="inlineStr">
        <is>
          <t>Saldo, comprometimento, poupança e reserva calculados corretamente</t>
        </is>
      </c>
      <c r="I3" s="3" t="inlineStr">
        <is>
          <t>Backend</t>
        </is>
      </c>
      <c r="J3" s="7" t="inlineStr">
        <is>
          <t>Alta</t>
        </is>
      </c>
      <c r="K3" s="8" t="inlineStr"/>
      <c r="L3" s="8" t="inlineStr"/>
      <c r="M3" s="3" t="inlineStr"/>
    </row>
    <row r="4">
      <c r="A4" s="3" t="inlineStr">
        <is>
          <t>BE-017</t>
        </is>
      </c>
      <c r="B4" s="4" t="n">
        <v>4</v>
      </c>
      <c r="C4" s="3" t="inlineStr">
        <is>
          <t>Backend</t>
        </is>
      </c>
      <c r="D4" s="3" t="inlineStr">
        <is>
          <t>Criar serviço do Diagnóstico</t>
        </is>
      </c>
      <c r="E4" s="3" t="inlineStr">
        <is>
          <t>diagnostic_service.py</t>
        </is>
      </c>
      <c r="F4" s="3" t="inlineStr">
        <is>
          <t>BE-016</t>
        </is>
      </c>
      <c r="G4" s="4" t="inlineStr">
        <is>
          <t>Não iniciada</t>
        </is>
      </c>
      <c r="H4" s="3" t="inlineStr">
        <is>
          <t>Serviço monta resumo, alertas e interpretação</t>
        </is>
      </c>
      <c r="I4" s="3" t="inlineStr">
        <is>
          <t>Backend</t>
        </is>
      </c>
      <c r="J4" s="7" t="inlineStr">
        <is>
          <t>Alta</t>
        </is>
      </c>
      <c r="K4" s="8" t="inlineStr"/>
      <c r="L4" s="8" t="inlineStr"/>
      <c r="M4" s="3" t="inlineStr"/>
    </row>
    <row r="5">
      <c r="A5" s="3" t="inlineStr">
        <is>
          <t>BE-018</t>
        </is>
      </c>
      <c r="B5" s="4" t="n">
        <v>4</v>
      </c>
      <c r="C5" s="3" t="inlineStr">
        <is>
          <t>Backend</t>
        </is>
      </c>
      <c r="D5" s="3" t="inlineStr">
        <is>
          <t>Criar endpoint do Diagnóstico</t>
        </is>
      </c>
      <c r="E5" s="3" t="inlineStr">
        <is>
          <t>backend/app/api/routes/diagnostic.py</t>
        </is>
      </c>
      <c r="F5" s="3" t="inlineStr">
        <is>
          <t>BE-017</t>
        </is>
      </c>
      <c r="G5" s="4" t="inlineStr">
        <is>
          <t>Não iniciada</t>
        </is>
      </c>
      <c r="H5" s="3" t="inlineStr">
        <is>
          <t>POST /api/v1/diagnostic funcional</t>
        </is>
      </c>
      <c r="I5" s="3" t="inlineStr">
        <is>
          <t>Backend</t>
        </is>
      </c>
      <c r="J5" s="7" t="inlineStr">
        <is>
          <t>Alta</t>
        </is>
      </c>
      <c r="K5" s="8" t="inlineStr"/>
      <c r="L5" s="8" t="inlineStr"/>
      <c r="M5" s="3" t="inlineStr"/>
    </row>
    <row r="6">
      <c r="A6" s="3" t="inlineStr">
        <is>
          <t>FE-016</t>
        </is>
      </c>
      <c r="B6" s="4" t="n">
        <v>4</v>
      </c>
      <c r="C6" s="3" t="inlineStr">
        <is>
          <t>Frontend</t>
        </is>
      </c>
      <c r="D6" s="3" t="inlineStr">
        <is>
          <t>Criar página do Diagnóstico</t>
        </is>
      </c>
      <c r="E6" s="3" t="inlineStr">
        <is>
          <t>frontend/src/app/diagnostico/page.tsx</t>
        </is>
      </c>
      <c r="F6" s="3" t="inlineStr">
        <is>
          <t>FE-007</t>
        </is>
      </c>
      <c r="G6" s="4" t="inlineStr">
        <is>
          <t>Não iniciada</t>
        </is>
      </c>
      <c r="H6" s="3" t="inlineStr">
        <is>
          <t>Página do módulo criada</t>
        </is>
      </c>
      <c r="I6" s="3" t="inlineStr">
        <is>
          <t>Frontend</t>
        </is>
      </c>
      <c r="J6" s="7" t="inlineStr">
        <is>
          <t>Alta</t>
        </is>
      </c>
      <c r="K6" s="8" t="inlineStr"/>
      <c r="L6" s="8" t="inlineStr"/>
      <c r="M6" s="3" t="inlineStr"/>
    </row>
    <row r="7">
      <c r="A7" s="3" t="inlineStr">
        <is>
          <t>FE-017</t>
        </is>
      </c>
      <c r="B7" s="4" t="n">
        <v>4</v>
      </c>
      <c r="C7" s="3" t="inlineStr">
        <is>
          <t>Frontend</t>
        </is>
      </c>
      <c r="D7" s="3" t="inlineStr">
        <is>
          <t>Criar formulário do Diagnóstico</t>
        </is>
      </c>
      <c r="E7" s="3" t="inlineStr">
        <is>
          <t>DiagnosticForm.tsx</t>
        </is>
      </c>
      <c r="F7" s="3" t="inlineStr">
        <is>
          <t>FE-016</t>
        </is>
      </c>
      <c r="G7" s="4" t="inlineStr">
        <is>
          <t>Não iniciada</t>
        </is>
      </c>
      <c r="H7" s="3" t="inlineStr">
        <is>
          <t>Formulário envia renda, despesas e dívidas corretamente</t>
        </is>
      </c>
      <c r="I7" s="3" t="inlineStr">
        <is>
          <t>Frontend</t>
        </is>
      </c>
      <c r="J7" s="7" t="inlineStr">
        <is>
          <t>Alta</t>
        </is>
      </c>
      <c r="K7" s="8" t="inlineStr"/>
      <c r="L7" s="8" t="inlineStr"/>
      <c r="M7" s="3" t="inlineStr"/>
    </row>
    <row r="8">
      <c r="A8" s="3" t="inlineStr">
        <is>
          <t>FE-018</t>
        </is>
      </c>
      <c r="B8" s="4" t="n">
        <v>4</v>
      </c>
      <c r="C8" s="3" t="inlineStr">
        <is>
          <t>Frontend</t>
        </is>
      </c>
      <c r="D8" s="3" t="inlineStr">
        <is>
          <t>Criar cards e visualização do Diagnóstico</t>
        </is>
      </c>
      <c r="E8" s="3" t="inlineStr">
        <is>
          <t>DiagnosticSummaryCards.tsx; IncomeExpenseChart.tsx</t>
        </is>
      </c>
      <c r="F8" s="3" t="inlineStr">
        <is>
          <t>FE-017, BE-018</t>
        </is>
      </c>
      <c r="G8" s="4" t="inlineStr">
        <is>
          <t>Não iniciada</t>
        </is>
      </c>
      <c r="H8" s="3" t="inlineStr">
        <is>
          <t>Cards, gráfico e interpretação do diagnóstico exibidos</t>
        </is>
      </c>
      <c r="I8" s="3" t="inlineStr">
        <is>
          <t>Frontend</t>
        </is>
      </c>
      <c r="J8" s="7" t="inlineStr">
        <is>
          <t>Alta</t>
        </is>
      </c>
      <c r="K8" s="8" t="inlineStr"/>
      <c r="L8" s="8" t="inlineStr"/>
      <c r="M8" s="3" t="inlineStr"/>
    </row>
    <row r="9">
      <c r="A9" s="3" t="inlineStr">
        <is>
          <t>QA-009</t>
        </is>
      </c>
      <c r="B9" s="4" t="n">
        <v>4</v>
      </c>
      <c r="C9" s="3" t="inlineStr">
        <is>
          <t>Testes</t>
        </is>
      </c>
      <c r="D9" s="3" t="inlineStr">
        <is>
          <t>Testes do Diagnóstico</t>
        </is>
      </c>
      <c r="E9" s="3" t="inlineStr">
        <is>
          <t>test_diagnostic.py; test_diagnostic_route.py</t>
        </is>
      </c>
      <c r="F9" s="3" t="inlineStr">
        <is>
          <t>BE-018</t>
        </is>
      </c>
      <c r="G9" s="4" t="inlineStr">
        <is>
          <t>Não iniciada</t>
        </is>
      </c>
      <c r="H9" s="3" t="inlineStr">
        <is>
          <t>Regras e rota do diagnóstico protegidas</t>
        </is>
      </c>
      <c r="I9" s="3" t="inlineStr">
        <is>
          <t>QA / Backend</t>
        </is>
      </c>
      <c r="J9" s="7" t="inlineStr">
        <is>
          <t>Alta</t>
        </is>
      </c>
      <c r="K9" s="8" t="inlineStr"/>
      <c r="L9" s="8" t="inlineStr"/>
      <c r="M9" s="3" t="inlineStr"/>
    </row>
    <row r="10">
      <c r="A10" s="3" t="inlineStr">
        <is>
          <t>DOC-005</t>
        </is>
      </c>
      <c r="B10" s="4" t="n">
        <v>4</v>
      </c>
      <c r="C10" s="3" t="inlineStr">
        <is>
          <t>Documentação</t>
        </is>
      </c>
      <c r="D10" s="3" t="inlineStr">
        <is>
          <t>Documentar Diagnóstico</t>
        </is>
      </c>
      <c r="E10" s="3" t="inlineStr">
        <is>
          <t>docs/user-guide.md</t>
        </is>
      </c>
      <c r="F10" s="3" t="inlineStr">
        <is>
          <t>BE-018, FE-018</t>
        </is>
      </c>
      <c r="G10" s="4" t="inlineStr">
        <is>
          <t>Não iniciada</t>
        </is>
      </c>
      <c r="H10" s="3" t="inlineStr">
        <is>
          <t>Uso e interpretação do diagnóstico documentados</t>
        </is>
      </c>
      <c r="I10" s="3" t="inlineStr">
        <is>
          <t>Documentação</t>
        </is>
      </c>
      <c r="J10" s="9" t="inlineStr">
        <is>
          <t>Média</t>
        </is>
      </c>
      <c r="K10" s="8" t="inlineStr"/>
      <c r="L10" s="8" t="inlineStr"/>
      <c r="M10" s="3" t="inlineStr"/>
    </row>
    <row r="11">
      <c r="A11" s="3" t="inlineStr">
        <is>
          <t>BE-019</t>
        </is>
      </c>
      <c r="B11" s="4" t="n">
        <v>4</v>
      </c>
      <c r="C11" s="3" t="inlineStr">
        <is>
          <t>Backend</t>
        </is>
      </c>
      <c r="D11" s="3" t="inlineStr">
        <is>
          <t>Criar schemas do Financiamento Imobiliário</t>
        </is>
      </c>
      <c r="E11" s="3" t="inlineStr">
        <is>
          <t>real_estate_financing.py</t>
        </is>
      </c>
      <c r="F11" s="3" t="inlineStr">
        <is>
          <t>BE-003</t>
        </is>
      </c>
      <c r="G11" s="4" t="inlineStr">
        <is>
          <t>Não iniciada</t>
        </is>
      </c>
      <c r="H11" s="3" t="inlineStr">
        <is>
          <t>Contratos do módulo definidos</t>
        </is>
      </c>
      <c r="I11" s="3" t="inlineStr">
        <is>
          <t>Backend</t>
        </is>
      </c>
      <c r="J11" s="7" t="inlineStr">
        <is>
          <t>Alta</t>
        </is>
      </c>
      <c r="K11" s="8" t="inlineStr"/>
      <c r="L11" s="8" t="inlineStr"/>
      <c r="M11" s="3" t="inlineStr"/>
    </row>
    <row r="12">
      <c r="A12" s="3" t="inlineStr">
        <is>
          <t>BE-020</t>
        </is>
      </c>
      <c r="B12" s="4" t="n">
        <v>4</v>
      </c>
      <c r="C12" s="3" t="inlineStr">
        <is>
          <t>Backend</t>
        </is>
      </c>
      <c r="D12" s="3" t="inlineStr">
        <is>
          <t>Implementar domínio do Financiamento Imobiliário</t>
        </is>
      </c>
      <c r="E12" s="3" t="inlineStr">
        <is>
          <t>backend/app/domain/financing/real_estate.py</t>
        </is>
      </c>
      <c r="F12" s="3" t="inlineStr">
        <is>
          <t>BE-019, BE-011, BE-012</t>
        </is>
      </c>
      <c r="G12" s="4" t="inlineStr">
        <is>
          <t>Não iniciada</t>
        </is>
      </c>
      <c r="H12" s="3" t="inlineStr">
        <is>
          <t>Valor financiado, parcelas, total pago e juros calculados corretamente</t>
        </is>
      </c>
      <c r="I12" s="3" t="inlineStr">
        <is>
          <t>Backend</t>
        </is>
      </c>
      <c r="J12" s="7" t="inlineStr">
        <is>
          <t>Alta</t>
        </is>
      </c>
      <c r="K12" s="8" t="inlineStr"/>
      <c r="L12" s="8" t="inlineStr"/>
      <c r="M12" s="3" t="inlineStr"/>
    </row>
    <row r="13">
      <c r="A13" s="3" t="inlineStr">
        <is>
          <t>BE-021</t>
        </is>
      </c>
      <c r="B13" s="4" t="n">
        <v>4</v>
      </c>
      <c r="C13" s="3" t="inlineStr">
        <is>
          <t>Backend</t>
        </is>
      </c>
      <c r="D13" s="3" t="inlineStr">
        <is>
          <t>Criar serviço do Financiamento Imobiliário</t>
        </is>
      </c>
      <c r="E13" s="3" t="inlineStr">
        <is>
          <t>real_estate_financing_service.py</t>
        </is>
      </c>
      <c r="F13" s="3" t="inlineStr">
        <is>
          <t>BE-020</t>
        </is>
      </c>
      <c r="G13" s="4" t="inlineStr">
        <is>
          <t>Não iniciada</t>
        </is>
      </c>
      <c r="H13" s="3" t="inlineStr">
        <is>
          <t>Serviço monta comparação PRICE/SAC, alertas e interpretação</t>
        </is>
      </c>
      <c r="I13" s="3" t="inlineStr">
        <is>
          <t>Backend</t>
        </is>
      </c>
      <c r="J13" s="7" t="inlineStr">
        <is>
          <t>Alta</t>
        </is>
      </c>
      <c r="K13" s="8" t="inlineStr"/>
      <c r="L13" s="8" t="inlineStr"/>
      <c r="M13" s="3" t="inlineStr"/>
    </row>
    <row r="14">
      <c r="A14" s="3" t="inlineStr">
        <is>
          <t>BE-022</t>
        </is>
      </c>
      <c r="B14" s="4" t="n">
        <v>4</v>
      </c>
      <c r="C14" s="3" t="inlineStr">
        <is>
          <t>Backend</t>
        </is>
      </c>
      <c r="D14" s="3" t="inlineStr">
        <is>
          <t>Criar endpoint do Financiamento Imobiliário</t>
        </is>
      </c>
      <c r="E14" s="3" t="inlineStr">
        <is>
          <t>backend/app/api/routes/real_estate_financing.py</t>
        </is>
      </c>
      <c r="F14" s="3" t="inlineStr">
        <is>
          <t>BE-021</t>
        </is>
      </c>
      <c r="G14" s="4" t="inlineStr">
        <is>
          <t>Não iniciada</t>
        </is>
      </c>
      <c r="H14" s="3" t="inlineStr">
        <is>
          <t>POST /api/v1/financing/real-estate funcional</t>
        </is>
      </c>
      <c r="I14" s="3" t="inlineStr">
        <is>
          <t>Backend</t>
        </is>
      </c>
      <c r="J14" s="7" t="inlineStr">
        <is>
          <t>Alta</t>
        </is>
      </c>
      <c r="K14" s="8" t="inlineStr"/>
      <c r="L14" s="8" t="inlineStr"/>
      <c r="M14" s="3" t="inlineStr"/>
    </row>
    <row r="15">
      <c r="A15" s="3" t="inlineStr">
        <is>
          <t>FE-019</t>
        </is>
      </c>
      <c r="B15" s="4" t="n">
        <v>4</v>
      </c>
      <c r="C15" s="3" t="inlineStr">
        <is>
          <t>Frontend</t>
        </is>
      </c>
      <c r="D15" s="3" t="inlineStr">
        <is>
          <t>Criar página do Financiamento Imobiliário</t>
        </is>
      </c>
      <c r="E15" s="3" t="inlineStr">
        <is>
          <t>frontend/src/app/financiamento-imobiliario/page.tsx</t>
        </is>
      </c>
      <c r="F15" s="3" t="inlineStr">
        <is>
          <t>FE-007</t>
        </is>
      </c>
      <c r="G15" s="4" t="inlineStr">
        <is>
          <t>Não iniciada</t>
        </is>
      </c>
      <c r="H15" s="3" t="inlineStr">
        <is>
          <t>Página do módulo criada</t>
        </is>
      </c>
      <c r="I15" s="3" t="inlineStr">
        <is>
          <t>Frontend</t>
        </is>
      </c>
      <c r="J15" s="7" t="inlineStr">
        <is>
          <t>Alta</t>
        </is>
      </c>
      <c r="K15" s="8" t="inlineStr"/>
      <c r="L15" s="8" t="inlineStr"/>
      <c r="M15" s="3" t="inlineStr"/>
    </row>
    <row r="16">
      <c r="A16" s="3" t="inlineStr">
        <is>
          <t>FE-020</t>
        </is>
      </c>
      <c r="B16" s="4" t="n">
        <v>4</v>
      </c>
      <c r="C16" s="3" t="inlineStr">
        <is>
          <t>Frontend</t>
        </is>
      </c>
      <c r="D16" s="3" t="inlineStr">
        <is>
          <t>Criar formulário do Financiamento Imobiliário</t>
        </is>
      </c>
      <c r="E16" s="3" t="inlineStr">
        <is>
          <t>RealEstateFinancingForm.tsx</t>
        </is>
      </c>
      <c r="F16" s="3" t="inlineStr">
        <is>
          <t>FE-019</t>
        </is>
      </c>
      <c r="G16" s="4" t="inlineStr">
        <is>
          <t>Não iniciada</t>
        </is>
      </c>
      <c r="H16" s="3" t="inlineStr">
        <is>
          <t>Formulário envia dados do imóvel, entrada, taxa e sistema</t>
        </is>
      </c>
      <c r="I16" s="3" t="inlineStr">
        <is>
          <t>Frontend</t>
        </is>
      </c>
      <c r="J16" s="7" t="inlineStr">
        <is>
          <t>Alta</t>
        </is>
      </c>
      <c r="K16" s="8" t="inlineStr"/>
      <c r="L16" s="8" t="inlineStr"/>
      <c r="M16" s="3" t="inlineStr"/>
    </row>
    <row r="17">
      <c r="A17" s="3" t="inlineStr">
        <is>
          <t>FE-021</t>
        </is>
      </c>
      <c r="B17" s="4" t="n">
        <v>4</v>
      </c>
      <c r="C17" s="3" t="inlineStr">
        <is>
          <t>Frontend</t>
        </is>
      </c>
      <c r="D17" s="3" t="inlineStr">
        <is>
          <t>Criar cards/tabela/gráfico do Financiamento Imobiliário</t>
        </is>
      </c>
      <c r="E17" s="3" t="inlineStr">
        <is>
          <t>RealEstateSummaryCards.tsx; RealEstateInstallmentsTable.tsx; RealEstateBalanceChart.tsx</t>
        </is>
      </c>
      <c r="F17" s="3" t="inlineStr">
        <is>
          <t>FE-020, BE-022</t>
        </is>
      </c>
      <c r="G17" s="4" t="inlineStr">
        <is>
          <t>Não iniciada</t>
        </is>
      </c>
      <c r="H17" s="3" t="inlineStr">
        <is>
          <t>Resultado completo exibido com alerta e interpretação</t>
        </is>
      </c>
      <c r="I17" s="3" t="inlineStr">
        <is>
          <t>Frontend</t>
        </is>
      </c>
      <c r="J17" s="7" t="inlineStr">
        <is>
          <t>Alta</t>
        </is>
      </c>
      <c r="K17" s="8" t="inlineStr"/>
      <c r="L17" s="8" t="inlineStr"/>
      <c r="M17" s="3" t="inlineStr"/>
    </row>
    <row r="18">
      <c r="A18" s="3" t="inlineStr">
        <is>
          <t>QA-010</t>
        </is>
      </c>
      <c r="B18" s="4" t="n">
        <v>4</v>
      </c>
      <c r="C18" s="3" t="inlineStr">
        <is>
          <t>Testes</t>
        </is>
      </c>
      <c r="D18" s="3" t="inlineStr">
        <is>
          <t>Testes do Financiamento Imobiliário</t>
        </is>
      </c>
      <c r="E18" s="3" t="inlineStr">
        <is>
          <t>test_real_estate_financing.py; test_real_estate_financing_route.py</t>
        </is>
      </c>
      <c r="F18" s="3" t="inlineStr">
        <is>
          <t>BE-022</t>
        </is>
      </c>
      <c r="G18" s="4" t="inlineStr">
        <is>
          <t>Não iniciada</t>
        </is>
      </c>
      <c r="H18" s="3" t="inlineStr">
        <is>
          <t>Cálculo e rota protegidos</t>
        </is>
      </c>
      <c r="I18" s="3" t="inlineStr">
        <is>
          <t>QA / Backend</t>
        </is>
      </c>
      <c r="J18" s="7" t="inlineStr">
        <is>
          <t>Alta</t>
        </is>
      </c>
      <c r="K18" s="8" t="inlineStr"/>
      <c r="L18" s="8" t="inlineStr"/>
      <c r="M18" s="3" t="inlineStr"/>
    </row>
    <row r="19">
      <c r="A19" s="3" t="inlineStr">
        <is>
          <t>QA-011</t>
        </is>
      </c>
      <c r="B19" s="4" t="n">
        <v>4</v>
      </c>
      <c r="C19" s="3" t="inlineStr">
        <is>
          <t>Testes</t>
        </is>
      </c>
      <c r="D19" s="3" t="inlineStr">
        <is>
          <t>Testes frontend da sprint</t>
        </is>
      </c>
      <c r="E19" s="3" t="inlineStr">
        <is>
          <t>testes das páginas e formulários do diagnóstico e financiamento</t>
        </is>
      </c>
      <c r="F19" s="3" t="inlineStr">
        <is>
          <t>FE-018, FE-021</t>
        </is>
      </c>
      <c r="G19" s="4" t="inlineStr">
        <is>
          <t>Não iniciada</t>
        </is>
      </c>
      <c r="H19" s="3" t="inlineStr">
        <is>
          <t>UI básica dos dois módulos coberta</t>
        </is>
      </c>
      <c r="I19" s="3" t="inlineStr">
        <is>
          <t>QA / Frontend</t>
        </is>
      </c>
      <c r="J19" s="9" t="inlineStr">
        <is>
          <t>Média</t>
        </is>
      </c>
      <c r="K19" s="8" t="inlineStr"/>
      <c r="L19" s="8" t="inlineStr"/>
      <c r="M19" s="3" t="inlineStr"/>
    </row>
    <row r="20">
      <c r="A20" s="3" t="inlineStr">
        <is>
          <t>DOC-006</t>
        </is>
      </c>
      <c r="B20" s="4" t="n">
        <v>4</v>
      </c>
      <c r="C20" s="3" t="inlineStr">
        <is>
          <t>Documentação</t>
        </is>
      </c>
      <c r="D20" s="3" t="inlineStr">
        <is>
          <t>Documentar Diagnóstico e Financiamento Imobiliário</t>
        </is>
      </c>
      <c r="E20" s="3" t="inlineStr">
        <is>
          <t>docs/api-contract.md; docs/user-guide.md</t>
        </is>
      </c>
      <c r="F20" s="3" t="inlineStr">
        <is>
          <t>BE-022, FE-021</t>
        </is>
      </c>
      <c r="G20" s="4" t="inlineStr">
        <is>
          <t>Não iniciada</t>
        </is>
      </c>
      <c r="H20" s="3" t="inlineStr">
        <is>
          <t>Endpoints e uso dos módulos documentados</t>
        </is>
      </c>
      <c r="I20" s="3" t="inlineStr">
        <is>
          <t>Documentação</t>
        </is>
      </c>
      <c r="J20" s="9" t="inlineStr">
        <is>
          <t>Média</t>
        </is>
      </c>
      <c r="K20" s="8" t="inlineStr"/>
      <c r="L20" s="8" t="inlineStr"/>
      <c r="M20" s="3" t="inlineStr"/>
    </row>
  </sheetData>
  <autoFilter ref="A1:M20"/>
  <dataValidations count="1">
    <dataValidation sqref="G2:G20" showDropDown="0" showInputMessage="0" showErrorMessage="0" allowBlank="0" type="list">
      <formula1>"Não iniciada,Em andamento,Bloqueada,Em validação,Concluída"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2" customWidth="1" min="4" max="4"/>
    <col width="44" customWidth="1" min="5" max="5"/>
    <col width="22" customWidth="1" min="6" max="6"/>
    <col width="16" customWidth="1" min="7" max="7"/>
    <col width="38" customWidth="1" min="8" max="8"/>
    <col width="22" customWidth="1" min="9" max="9"/>
    <col width="12" customWidth="1" min="10" max="10"/>
    <col width="12" customWidth="1" min="11" max="11"/>
    <col width="14" customWidth="1" min="12" max="12"/>
    <col width="28" customWidth="1" min="13" max="13"/>
  </cols>
  <sheetData>
    <row r="1">
      <c r="A1" s="6" t="inlineStr">
        <is>
          <t>ID</t>
        </is>
      </c>
      <c r="B1" s="6" t="inlineStr">
        <is>
          <t>Sprint</t>
        </is>
      </c>
      <c r="C1" s="6" t="inlineStr">
        <is>
          <t>Área</t>
        </is>
      </c>
      <c r="D1" s="6" t="inlineStr">
        <is>
          <t>Descrição</t>
        </is>
      </c>
      <c r="E1" s="6" t="inlineStr">
        <is>
          <t>Arquivos principais</t>
        </is>
      </c>
      <c r="F1" s="6" t="inlineStr">
        <is>
          <t>Dependências</t>
        </is>
      </c>
      <c r="G1" s="6" t="inlineStr">
        <is>
          <t>Status</t>
        </is>
      </c>
      <c r="H1" s="6" t="inlineStr">
        <is>
          <t>Critério de aceite</t>
        </is>
      </c>
      <c r="I1" s="6" t="inlineStr">
        <is>
          <t>Responsável principal</t>
        </is>
      </c>
      <c r="J1" s="6" t="inlineStr">
        <is>
          <t>Prioridade</t>
        </is>
      </c>
      <c r="K1" s="6" t="inlineStr">
        <is>
          <t>Data início</t>
        </is>
      </c>
      <c r="L1" s="6" t="inlineStr">
        <is>
          <t>Data conclusão</t>
        </is>
      </c>
      <c r="M1" s="6" t="inlineStr">
        <is>
          <t>Observações/Bloqueios</t>
        </is>
      </c>
    </row>
    <row r="2">
      <c r="A2" s="3" t="inlineStr">
        <is>
          <t>BE-023</t>
        </is>
      </c>
      <c r="B2" s="4" t="n">
        <v>5</v>
      </c>
      <c r="C2" s="3" t="inlineStr">
        <is>
          <t>Backend</t>
        </is>
      </c>
      <c r="D2" s="3" t="inlineStr">
        <is>
          <t>Criar schema de Financiamento de Veículo</t>
        </is>
      </c>
      <c r="E2" s="3" t="inlineStr">
        <is>
          <t>vehicle_financing.py</t>
        </is>
      </c>
      <c r="F2" s="3" t="inlineStr">
        <is>
          <t>BE-003</t>
        </is>
      </c>
      <c r="G2" s="4" t="inlineStr">
        <is>
          <t>Não iniciada</t>
        </is>
      </c>
      <c r="H2" s="3" t="inlineStr">
        <is>
          <t>Contrato do módulo definido</t>
        </is>
      </c>
      <c r="I2" s="3" t="inlineStr">
        <is>
          <t>Backend</t>
        </is>
      </c>
      <c r="J2" s="7" t="inlineStr">
        <is>
          <t>Alta</t>
        </is>
      </c>
      <c r="K2" s="8" t="inlineStr"/>
      <c r="L2" s="8" t="inlineStr"/>
      <c r="M2" s="3" t="inlineStr"/>
    </row>
    <row r="3">
      <c r="A3" s="3" t="inlineStr">
        <is>
          <t>BE-024</t>
        </is>
      </c>
      <c r="B3" s="4" t="n">
        <v>5</v>
      </c>
      <c r="C3" s="3" t="inlineStr">
        <is>
          <t>Backend</t>
        </is>
      </c>
      <c r="D3" s="3" t="inlineStr">
        <is>
          <t>Implementar domínio de Financiamento de Veículo</t>
        </is>
      </c>
      <c r="E3" s="3" t="inlineStr">
        <is>
          <t>backend/app/domain/financing/vehicle.py</t>
        </is>
      </c>
      <c r="F3" s="3" t="inlineStr">
        <is>
          <t>BE-023</t>
        </is>
      </c>
      <c r="G3" s="4" t="inlineStr">
        <is>
          <t>Não iniciada</t>
        </is>
      </c>
      <c r="H3" s="3" t="inlineStr">
        <is>
          <t>Parcela, total pago, juros e comprometimento calculados corretamente</t>
        </is>
      </c>
      <c r="I3" s="3" t="inlineStr">
        <is>
          <t>Backend</t>
        </is>
      </c>
      <c r="J3" s="7" t="inlineStr">
        <is>
          <t>Alta</t>
        </is>
      </c>
      <c r="K3" s="8" t="inlineStr"/>
      <c r="L3" s="8" t="inlineStr"/>
      <c r="M3" s="3" t="inlineStr"/>
    </row>
    <row r="4">
      <c r="A4" s="3" t="inlineStr">
        <is>
          <t>BE-025</t>
        </is>
      </c>
      <c r="B4" s="4" t="n">
        <v>5</v>
      </c>
      <c r="C4" s="3" t="inlineStr">
        <is>
          <t>Backend</t>
        </is>
      </c>
      <c r="D4" s="3" t="inlineStr">
        <is>
          <t>Criar serviço de Financiamento de Veículo</t>
        </is>
      </c>
      <c r="E4" s="3" t="inlineStr">
        <is>
          <t>vehicle_financing_service.py</t>
        </is>
      </c>
      <c r="F4" s="3" t="inlineStr">
        <is>
          <t>BE-024</t>
        </is>
      </c>
      <c r="G4" s="4" t="inlineStr">
        <is>
          <t>Não iniciada</t>
        </is>
      </c>
      <c r="H4" s="3" t="inlineStr">
        <is>
          <t>Serviço monta resumo, alertas e interpretação</t>
        </is>
      </c>
      <c r="I4" s="3" t="inlineStr">
        <is>
          <t>Backend</t>
        </is>
      </c>
      <c r="J4" s="7" t="inlineStr">
        <is>
          <t>Alta</t>
        </is>
      </c>
      <c r="K4" s="8" t="inlineStr"/>
      <c r="L4" s="8" t="inlineStr"/>
      <c r="M4" s="3" t="inlineStr"/>
    </row>
    <row r="5">
      <c r="A5" s="3" t="inlineStr">
        <is>
          <t>BE-026</t>
        </is>
      </c>
      <c r="B5" s="4" t="n">
        <v>5</v>
      </c>
      <c r="C5" s="3" t="inlineStr">
        <is>
          <t>Backend</t>
        </is>
      </c>
      <c r="D5" s="3" t="inlineStr">
        <is>
          <t>Criar endpoint de Financiamento de Veículo</t>
        </is>
      </c>
      <c r="E5" s="3" t="inlineStr">
        <is>
          <t>vehicle_financing.py route</t>
        </is>
      </c>
      <c r="F5" s="3" t="inlineStr">
        <is>
          <t>BE-025</t>
        </is>
      </c>
      <c r="G5" s="4" t="inlineStr">
        <is>
          <t>Não iniciada</t>
        </is>
      </c>
      <c r="H5" s="3" t="inlineStr">
        <is>
          <t>POST /api/v1/financing/vehicle funcional</t>
        </is>
      </c>
      <c r="I5" s="3" t="inlineStr">
        <is>
          <t>Backend</t>
        </is>
      </c>
      <c r="J5" s="7" t="inlineStr">
        <is>
          <t>Alta</t>
        </is>
      </c>
      <c r="K5" s="8" t="inlineStr"/>
      <c r="L5" s="8" t="inlineStr"/>
      <c r="M5" s="3" t="inlineStr"/>
    </row>
    <row r="6">
      <c r="A6" s="3" t="inlineStr">
        <is>
          <t>FE-022</t>
        </is>
      </c>
      <c r="B6" s="4" t="n">
        <v>5</v>
      </c>
      <c r="C6" s="3" t="inlineStr">
        <is>
          <t>Frontend</t>
        </is>
      </c>
      <c r="D6" s="3" t="inlineStr">
        <is>
          <t>Criar página do Financiamento de Veículo</t>
        </is>
      </c>
      <c r="E6" s="3" t="inlineStr">
        <is>
          <t>frontend/src/app/financiamento-veiculo/page.tsx</t>
        </is>
      </c>
      <c r="F6" s="3" t="inlineStr">
        <is>
          <t>FE-007</t>
        </is>
      </c>
      <c r="G6" s="4" t="inlineStr">
        <is>
          <t>Não iniciada</t>
        </is>
      </c>
      <c r="H6" s="3" t="inlineStr">
        <is>
          <t>Página do módulo criada</t>
        </is>
      </c>
      <c r="I6" s="3" t="inlineStr">
        <is>
          <t>Frontend</t>
        </is>
      </c>
      <c r="J6" s="7" t="inlineStr">
        <is>
          <t>Alta</t>
        </is>
      </c>
      <c r="K6" s="8" t="inlineStr"/>
      <c r="L6" s="8" t="inlineStr"/>
      <c r="M6" s="3" t="inlineStr"/>
    </row>
    <row r="7">
      <c r="A7" s="3" t="inlineStr">
        <is>
          <t>FE-023</t>
        </is>
      </c>
      <c r="B7" s="4" t="n">
        <v>5</v>
      </c>
      <c r="C7" s="3" t="inlineStr">
        <is>
          <t>Frontend</t>
        </is>
      </c>
      <c r="D7" s="3" t="inlineStr">
        <is>
          <t>Criar formulário do Financiamento de Veículo</t>
        </is>
      </c>
      <c r="E7" s="3" t="inlineStr">
        <is>
          <t>VehicleFinancingForm.tsx</t>
        </is>
      </c>
      <c r="F7" s="3" t="inlineStr">
        <is>
          <t>FE-022</t>
        </is>
      </c>
      <c r="G7" s="4" t="inlineStr">
        <is>
          <t>Não iniciada</t>
        </is>
      </c>
      <c r="H7" s="3" t="inlineStr">
        <is>
          <t>Formulário funcional</t>
        </is>
      </c>
      <c r="I7" s="3" t="inlineStr">
        <is>
          <t>Frontend</t>
        </is>
      </c>
      <c r="J7" s="7" t="inlineStr">
        <is>
          <t>Alta</t>
        </is>
      </c>
      <c r="K7" s="8" t="inlineStr"/>
      <c r="L7" s="8" t="inlineStr"/>
      <c r="M7" s="3" t="inlineStr"/>
    </row>
    <row r="8">
      <c r="A8" s="3" t="inlineStr">
        <is>
          <t>FE-024</t>
        </is>
      </c>
      <c r="B8" s="4" t="n">
        <v>5</v>
      </c>
      <c r="C8" s="3" t="inlineStr">
        <is>
          <t>Frontend</t>
        </is>
      </c>
      <c r="D8" s="3" t="inlineStr">
        <is>
          <t>Criar cards/tabela/gráfico do Financiamento de Veículo</t>
        </is>
      </c>
      <c r="E8" s="3" t="inlineStr">
        <is>
          <t>componentes do módulo</t>
        </is>
      </c>
      <c r="F8" s="3" t="inlineStr">
        <is>
          <t>FE-023, BE-026</t>
        </is>
      </c>
      <c r="G8" s="4" t="inlineStr">
        <is>
          <t>Não iniciada</t>
        </is>
      </c>
      <c r="H8" s="3" t="inlineStr">
        <is>
          <t>Resultado do módulo exibido com clareza</t>
        </is>
      </c>
      <c r="I8" s="3" t="inlineStr">
        <is>
          <t>Frontend</t>
        </is>
      </c>
      <c r="J8" s="7" t="inlineStr">
        <is>
          <t>Alta</t>
        </is>
      </c>
      <c r="K8" s="8" t="inlineStr"/>
      <c r="L8" s="8" t="inlineStr"/>
      <c r="M8" s="3" t="inlineStr"/>
    </row>
    <row r="9">
      <c r="A9" s="3" t="inlineStr">
        <is>
          <t>BE-027</t>
        </is>
      </c>
      <c r="B9" s="4" t="n">
        <v>5</v>
      </c>
      <c r="C9" s="3" t="inlineStr">
        <is>
          <t>Backend</t>
        </is>
      </c>
      <c r="D9" s="3" t="inlineStr">
        <is>
          <t>Criar schema do Consignado</t>
        </is>
      </c>
      <c r="E9" s="3" t="inlineStr">
        <is>
          <t>payroll_loan.py</t>
        </is>
      </c>
      <c r="F9" s="3" t="inlineStr">
        <is>
          <t>BE-003</t>
        </is>
      </c>
      <c r="G9" s="4" t="inlineStr">
        <is>
          <t>Não iniciada</t>
        </is>
      </c>
      <c r="H9" s="3" t="inlineStr">
        <is>
          <t>Contrato do módulo definido</t>
        </is>
      </c>
      <c r="I9" s="3" t="inlineStr">
        <is>
          <t>Backend</t>
        </is>
      </c>
      <c r="J9" s="7" t="inlineStr">
        <is>
          <t>Alta</t>
        </is>
      </c>
      <c r="K9" s="8" t="inlineStr"/>
      <c r="L9" s="8" t="inlineStr"/>
      <c r="M9" s="3" t="inlineStr"/>
    </row>
    <row r="10">
      <c r="A10" s="3" t="inlineStr">
        <is>
          <t>BE-028</t>
        </is>
      </c>
      <c r="B10" s="4" t="n">
        <v>5</v>
      </c>
      <c r="C10" s="3" t="inlineStr">
        <is>
          <t>Backend</t>
        </is>
      </c>
      <c r="D10" s="3" t="inlineStr">
        <is>
          <t>Implementar domínio do Consignado</t>
        </is>
      </c>
      <c r="E10" s="3" t="inlineStr">
        <is>
          <t>backend/app/domain/loans/payroll.py</t>
        </is>
      </c>
      <c r="F10" s="3" t="inlineStr">
        <is>
          <t>BE-027</t>
        </is>
      </c>
      <c r="G10" s="4" t="inlineStr">
        <is>
          <t>Não iniciada</t>
        </is>
      </c>
      <c r="H10" s="3" t="inlineStr">
        <is>
          <t>Parcela, total pago e margem consignável calculados corretamente</t>
        </is>
      </c>
      <c r="I10" s="3" t="inlineStr">
        <is>
          <t>Backend</t>
        </is>
      </c>
      <c r="J10" s="7" t="inlineStr">
        <is>
          <t>Alta</t>
        </is>
      </c>
      <c r="K10" s="8" t="inlineStr"/>
      <c r="L10" s="8" t="inlineStr"/>
      <c r="M10" s="3" t="inlineStr"/>
    </row>
    <row r="11">
      <c r="A11" s="3" t="inlineStr">
        <is>
          <t>BE-029</t>
        </is>
      </c>
      <c r="B11" s="4" t="n">
        <v>5</v>
      </c>
      <c r="C11" s="3" t="inlineStr">
        <is>
          <t>Backend</t>
        </is>
      </c>
      <c r="D11" s="3" t="inlineStr">
        <is>
          <t>Criar serviço do Consignado</t>
        </is>
      </c>
      <c r="E11" s="3" t="inlineStr">
        <is>
          <t>payroll_loan_service.py</t>
        </is>
      </c>
      <c r="F11" s="3" t="inlineStr">
        <is>
          <t>BE-028</t>
        </is>
      </c>
      <c r="G11" s="4" t="inlineStr">
        <is>
          <t>Não iniciada</t>
        </is>
      </c>
      <c r="H11" s="3" t="inlineStr">
        <is>
          <t>Serviço monta alerta de margem e interpretação</t>
        </is>
      </c>
      <c r="I11" s="3" t="inlineStr">
        <is>
          <t>Backend</t>
        </is>
      </c>
      <c r="J11" s="7" t="inlineStr">
        <is>
          <t>Alta</t>
        </is>
      </c>
      <c r="K11" s="8" t="inlineStr"/>
      <c r="L11" s="8" t="inlineStr"/>
      <c r="M11" s="3" t="inlineStr"/>
    </row>
    <row r="12">
      <c r="A12" s="3" t="inlineStr">
        <is>
          <t>BE-030</t>
        </is>
      </c>
      <c r="B12" s="4" t="n">
        <v>5</v>
      </c>
      <c r="C12" s="3" t="inlineStr">
        <is>
          <t>Backend</t>
        </is>
      </c>
      <c r="D12" s="3" t="inlineStr">
        <is>
          <t>Criar endpoint do Consignado</t>
        </is>
      </c>
      <c r="E12" s="3" t="inlineStr">
        <is>
          <t>backend/app/api/routes/payroll_loan.py</t>
        </is>
      </c>
      <c r="F12" s="3" t="inlineStr">
        <is>
          <t>BE-029</t>
        </is>
      </c>
      <c r="G12" s="4" t="inlineStr">
        <is>
          <t>Não iniciada</t>
        </is>
      </c>
      <c r="H12" s="3" t="inlineStr">
        <is>
          <t>POST /api/v1/loan/payroll funcional</t>
        </is>
      </c>
      <c r="I12" s="3" t="inlineStr">
        <is>
          <t>Backend</t>
        </is>
      </c>
      <c r="J12" s="7" t="inlineStr">
        <is>
          <t>Alta</t>
        </is>
      </c>
      <c r="K12" s="8" t="inlineStr"/>
      <c r="L12" s="8" t="inlineStr"/>
      <c r="M12" s="3" t="inlineStr"/>
    </row>
    <row r="13">
      <c r="A13" s="3" t="inlineStr">
        <is>
          <t>FE-025</t>
        </is>
      </c>
      <c r="B13" s="4" t="n">
        <v>5</v>
      </c>
      <c r="C13" s="3" t="inlineStr">
        <is>
          <t>Frontend</t>
        </is>
      </c>
      <c r="D13" s="3" t="inlineStr">
        <is>
          <t>Criar página do Consignado</t>
        </is>
      </c>
      <c r="E13" s="3" t="inlineStr">
        <is>
          <t>frontend/src/app/emprestimo-consignado/page.tsx</t>
        </is>
      </c>
      <c r="F13" s="3" t="inlineStr">
        <is>
          <t>FE-007</t>
        </is>
      </c>
      <c r="G13" s="4" t="inlineStr">
        <is>
          <t>Não iniciada</t>
        </is>
      </c>
      <c r="H13" s="3" t="inlineStr">
        <is>
          <t>Página criada</t>
        </is>
      </c>
      <c r="I13" s="3" t="inlineStr">
        <is>
          <t>Frontend</t>
        </is>
      </c>
      <c r="J13" s="7" t="inlineStr">
        <is>
          <t>Alta</t>
        </is>
      </c>
      <c r="K13" s="8" t="inlineStr"/>
      <c r="L13" s="8" t="inlineStr"/>
      <c r="M13" s="3" t="inlineStr"/>
    </row>
    <row r="14">
      <c r="A14" s="3" t="inlineStr">
        <is>
          <t>FE-026</t>
        </is>
      </c>
      <c r="B14" s="4" t="n">
        <v>5</v>
      </c>
      <c r="C14" s="3" t="inlineStr">
        <is>
          <t>Frontend</t>
        </is>
      </c>
      <c r="D14" s="3" t="inlineStr">
        <is>
          <t>Criar formulário do Consignado</t>
        </is>
      </c>
      <c r="E14" s="3" t="inlineStr">
        <is>
          <t>PayrollLoanForm.tsx</t>
        </is>
      </c>
      <c r="F14" s="3" t="inlineStr">
        <is>
          <t>FE-025</t>
        </is>
      </c>
      <c r="G14" s="4" t="inlineStr">
        <is>
          <t>Não iniciada</t>
        </is>
      </c>
      <c r="H14" s="3" t="inlineStr">
        <is>
          <t>Formulário funcional</t>
        </is>
      </c>
      <c r="I14" s="3" t="inlineStr">
        <is>
          <t>Frontend</t>
        </is>
      </c>
      <c r="J14" s="7" t="inlineStr">
        <is>
          <t>Alta</t>
        </is>
      </c>
      <c r="K14" s="8" t="inlineStr"/>
      <c r="L14" s="8" t="inlineStr"/>
      <c r="M14" s="3" t="inlineStr"/>
    </row>
    <row r="15">
      <c r="A15" s="3" t="inlineStr">
        <is>
          <t>FE-027</t>
        </is>
      </c>
      <c r="B15" s="4" t="n">
        <v>5</v>
      </c>
      <c r="C15" s="3" t="inlineStr">
        <is>
          <t>Frontend</t>
        </is>
      </c>
      <c r="D15" s="3" t="inlineStr">
        <is>
          <t>Criar visualização do Consignado</t>
        </is>
      </c>
      <c r="E15" s="3" t="inlineStr">
        <is>
          <t>componentes do módulo</t>
        </is>
      </c>
      <c r="F15" s="3" t="inlineStr">
        <is>
          <t>FE-026, BE-030</t>
        </is>
      </c>
      <c r="G15" s="4" t="inlineStr">
        <is>
          <t>Não iniciada</t>
        </is>
      </c>
      <c r="H15" s="3" t="inlineStr">
        <is>
          <t>Resultado e alerta de margem visíveis</t>
        </is>
      </c>
      <c r="I15" s="3" t="inlineStr">
        <is>
          <t>Frontend</t>
        </is>
      </c>
      <c r="J15" s="7" t="inlineStr">
        <is>
          <t>Alta</t>
        </is>
      </c>
      <c r="K15" s="8" t="inlineStr"/>
      <c r="L15" s="8" t="inlineStr"/>
      <c r="M15" s="3" t="inlineStr"/>
    </row>
    <row r="16">
      <c r="A16" s="3" t="inlineStr">
        <is>
          <t>BE-031</t>
        </is>
      </c>
      <c r="B16" s="4" t="n">
        <v>5</v>
      </c>
      <c r="C16" s="3" t="inlineStr">
        <is>
          <t>Backend</t>
        </is>
      </c>
      <c r="D16" s="3" t="inlineStr">
        <is>
          <t>Criar schema do CDC</t>
        </is>
      </c>
      <c r="E16" s="3" t="inlineStr">
        <is>
          <t>cdc.py</t>
        </is>
      </c>
      <c r="F16" s="3" t="inlineStr">
        <is>
          <t>BE-003</t>
        </is>
      </c>
      <c r="G16" s="4" t="inlineStr">
        <is>
          <t>Não iniciada</t>
        </is>
      </c>
      <c r="H16" s="3" t="inlineStr">
        <is>
          <t>Contrato do módulo definido</t>
        </is>
      </c>
      <c r="I16" s="3" t="inlineStr">
        <is>
          <t>Backend</t>
        </is>
      </c>
      <c r="J16" s="7" t="inlineStr">
        <is>
          <t>Alta</t>
        </is>
      </c>
      <c r="K16" s="8" t="inlineStr"/>
      <c r="L16" s="8" t="inlineStr"/>
      <c r="M16" s="3" t="inlineStr"/>
    </row>
    <row r="17">
      <c r="A17" s="3" t="inlineStr">
        <is>
          <t>BE-032</t>
        </is>
      </c>
      <c r="B17" s="4" t="n">
        <v>5</v>
      </c>
      <c r="C17" s="3" t="inlineStr">
        <is>
          <t>Backend</t>
        </is>
      </c>
      <c r="D17" s="3" t="inlineStr">
        <is>
          <t>Implementar domínio do CDC</t>
        </is>
      </c>
      <c r="E17" s="3" t="inlineStr">
        <is>
          <t>backend/app/domain/loans/cdc.py</t>
        </is>
      </c>
      <c r="F17" s="3" t="inlineStr">
        <is>
          <t>BE-031</t>
        </is>
      </c>
      <c r="G17" s="4" t="inlineStr">
        <is>
          <t>Não iniciada</t>
        </is>
      </c>
      <c r="H17" s="3" t="inlineStr">
        <is>
          <t>Parcela, custo com e sem CET e juros calculados corretamente</t>
        </is>
      </c>
      <c r="I17" s="3" t="inlineStr">
        <is>
          <t>Backend</t>
        </is>
      </c>
      <c r="J17" s="7" t="inlineStr">
        <is>
          <t>Alta</t>
        </is>
      </c>
      <c r="K17" s="8" t="inlineStr"/>
      <c r="L17" s="8" t="inlineStr"/>
      <c r="M17" s="3" t="inlineStr"/>
    </row>
    <row r="18">
      <c r="A18" s="3" t="inlineStr">
        <is>
          <t>BE-033</t>
        </is>
      </c>
      <c r="B18" s="4" t="n">
        <v>5</v>
      </c>
      <c r="C18" s="3" t="inlineStr">
        <is>
          <t>Backend</t>
        </is>
      </c>
      <c r="D18" s="3" t="inlineStr">
        <is>
          <t>Criar serviço do CDC</t>
        </is>
      </c>
      <c r="E18" s="3" t="inlineStr">
        <is>
          <t>cdc_service.py</t>
        </is>
      </c>
      <c r="F18" s="3" t="inlineStr">
        <is>
          <t>BE-032</t>
        </is>
      </c>
      <c r="G18" s="4" t="inlineStr">
        <is>
          <t>Não iniciada</t>
        </is>
      </c>
      <c r="H18" s="3" t="inlineStr">
        <is>
          <t>Serviço monta alerta de alto custo e interpretação</t>
        </is>
      </c>
      <c r="I18" s="3" t="inlineStr">
        <is>
          <t>Backend</t>
        </is>
      </c>
      <c r="J18" s="7" t="inlineStr">
        <is>
          <t>Alta</t>
        </is>
      </c>
      <c r="K18" s="8" t="inlineStr"/>
      <c r="L18" s="8" t="inlineStr"/>
      <c r="M18" s="3" t="inlineStr"/>
    </row>
    <row r="19">
      <c r="A19" s="3" t="inlineStr">
        <is>
          <t>BE-034</t>
        </is>
      </c>
      <c r="B19" s="4" t="n">
        <v>5</v>
      </c>
      <c r="C19" s="3" t="inlineStr">
        <is>
          <t>Backend</t>
        </is>
      </c>
      <c r="D19" s="3" t="inlineStr">
        <is>
          <t>Criar endpoint do CDC</t>
        </is>
      </c>
      <c r="E19" s="3" t="inlineStr">
        <is>
          <t>backend/app/api/routes/cdc.py</t>
        </is>
      </c>
      <c r="F19" s="3" t="inlineStr">
        <is>
          <t>BE-033</t>
        </is>
      </c>
      <c r="G19" s="4" t="inlineStr">
        <is>
          <t>Não iniciada</t>
        </is>
      </c>
      <c r="H19" s="3" t="inlineStr">
        <is>
          <t>POST /api/v1/loan/cdc funcional</t>
        </is>
      </c>
      <c r="I19" s="3" t="inlineStr">
        <is>
          <t>Backend</t>
        </is>
      </c>
      <c r="J19" s="7" t="inlineStr">
        <is>
          <t>Alta</t>
        </is>
      </c>
      <c r="K19" s="8" t="inlineStr"/>
      <c r="L19" s="8" t="inlineStr"/>
      <c r="M19" s="3" t="inlineStr"/>
    </row>
    <row r="20">
      <c r="A20" s="3" t="inlineStr">
        <is>
          <t>FE-028</t>
        </is>
      </c>
      <c r="B20" s="4" t="n">
        <v>5</v>
      </c>
      <c r="C20" s="3" t="inlineStr">
        <is>
          <t>Frontend</t>
        </is>
      </c>
      <c r="D20" s="3" t="inlineStr">
        <is>
          <t>Criar página do CDC</t>
        </is>
      </c>
      <c r="E20" s="3" t="inlineStr">
        <is>
          <t>frontend/src/app/credito-pessoal/page.tsx</t>
        </is>
      </c>
      <c r="F20" s="3" t="inlineStr">
        <is>
          <t>FE-007</t>
        </is>
      </c>
      <c r="G20" s="4" t="inlineStr">
        <is>
          <t>Não iniciada</t>
        </is>
      </c>
      <c r="H20" s="3" t="inlineStr">
        <is>
          <t>Página criada</t>
        </is>
      </c>
      <c r="I20" s="3" t="inlineStr">
        <is>
          <t>Frontend</t>
        </is>
      </c>
      <c r="J20" s="7" t="inlineStr">
        <is>
          <t>Alta</t>
        </is>
      </c>
      <c r="K20" s="8" t="inlineStr"/>
      <c r="L20" s="8" t="inlineStr"/>
      <c r="M20" s="3" t="inlineStr"/>
    </row>
    <row r="21">
      <c r="A21" s="3" t="inlineStr">
        <is>
          <t>FE-029</t>
        </is>
      </c>
      <c r="B21" s="4" t="n">
        <v>5</v>
      </c>
      <c r="C21" s="3" t="inlineStr">
        <is>
          <t>Frontend</t>
        </is>
      </c>
      <c r="D21" s="3" t="inlineStr">
        <is>
          <t>Criar formulário do CDC</t>
        </is>
      </c>
      <c r="E21" s="3" t="inlineStr">
        <is>
          <t>CdcForm.tsx</t>
        </is>
      </c>
      <c r="F21" s="3" t="inlineStr">
        <is>
          <t>FE-028</t>
        </is>
      </c>
      <c r="G21" s="4" t="inlineStr">
        <is>
          <t>Não iniciada</t>
        </is>
      </c>
      <c r="H21" s="3" t="inlineStr">
        <is>
          <t>Formulário funcional</t>
        </is>
      </c>
      <c r="I21" s="3" t="inlineStr">
        <is>
          <t>Frontend</t>
        </is>
      </c>
      <c r="J21" s="7" t="inlineStr">
        <is>
          <t>Alta</t>
        </is>
      </c>
      <c r="K21" s="8" t="inlineStr"/>
      <c r="L21" s="8" t="inlineStr"/>
      <c r="M21" s="3" t="inlineStr"/>
    </row>
    <row r="22">
      <c r="A22" s="3" t="inlineStr">
        <is>
          <t>FE-030</t>
        </is>
      </c>
      <c r="B22" s="4" t="n">
        <v>5</v>
      </c>
      <c r="C22" s="3" t="inlineStr">
        <is>
          <t>Frontend</t>
        </is>
      </c>
      <c r="D22" s="3" t="inlineStr">
        <is>
          <t>Criar visualização do CDC</t>
        </is>
      </c>
      <c r="E22" s="3" t="inlineStr">
        <is>
          <t>componentes do módulo</t>
        </is>
      </c>
      <c r="F22" s="3" t="inlineStr">
        <is>
          <t>FE-029, BE-034</t>
        </is>
      </c>
      <c r="G22" s="4" t="inlineStr">
        <is>
          <t>Não iniciada</t>
        </is>
      </c>
      <c r="H22" s="3" t="inlineStr">
        <is>
          <t>Resultado com CET e alerta exibidos</t>
        </is>
      </c>
      <c r="I22" s="3" t="inlineStr">
        <is>
          <t>Frontend</t>
        </is>
      </c>
      <c r="J22" s="7" t="inlineStr">
        <is>
          <t>Alta</t>
        </is>
      </c>
      <c r="K22" s="8" t="inlineStr"/>
      <c r="L22" s="8" t="inlineStr"/>
      <c r="M22" s="3" t="inlineStr"/>
    </row>
    <row r="23">
      <c r="A23" s="3" t="inlineStr">
        <is>
          <t>QA-012</t>
        </is>
      </c>
      <c r="B23" s="4" t="n">
        <v>5</v>
      </c>
      <c r="C23" s="3" t="inlineStr">
        <is>
          <t>Testes</t>
        </is>
      </c>
      <c r="D23" s="3" t="inlineStr">
        <is>
          <t>Testes dos três módulos no backend</t>
        </is>
      </c>
      <c r="E23" s="3" t="inlineStr">
        <is>
          <t>veículo, consignado e CDC</t>
        </is>
      </c>
      <c r="F23" s="3" t="inlineStr">
        <is>
          <t>BE-026, BE-030, BE-034</t>
        </is>
      </c>
      <c r="G23" s="4" t="inlineStr">
        <is>
          <t>Não iniciada</t>
        </is>
      </c>
      <c r="H23" s="3" t="inlineStr">
        <is>
          <t>Três módulos protegidos por testes essenciais</t>
        </is>
      </c>
      <c r="I23" s="3" t="inlineStr">
        <is>
          <t>QA / Backend</t>
        </is>
      </c>
      <c r="J23" s="7" t="inlineStr">
        <is>
          <t>Alta</t>
        </is>
      </c>
      <c r="K23" s="8" t="inlineStr"/>
      <c r="L23" s="8" t="inlineStr"/>
      <c r="M23" s="3" t="inlineStr"/>
    </row>
    <row r="24">
      <c r="A24" s="3" t="inlineStr">
        <is>
          <t>QA-013</t>
        </is>
      </c>
      <c r="B24" s="4" t="n">
        <v>5</v>
      </c>
      <c r="C24" s="3" t="inlineStr">
        <is>
          <t>Testes</t>
        </is>
      </c>
      <c r="D24" s="3" t="inlineStr">
        <is>
          <t>Testes frontend dos três módulos</t>
        </is>
      </c>
      <c r="E24" s="3" t="inlineStr">
        <is>
          <t>páginas, formulários e resultados</t>
        </is>
      </c>
      <c r="F24" s="3" t="inlineStr">
        <is>
          <t>FE-024, FE-027, FE-030</t>
        </is>
      </c>
      <c r="G24" s="4" t="inlineStr">
        <is>
          <t>Não iniciada</t>
        </is>
      </c>
      <c r="H24" s="3" t="inlineStr">
        <is>
          <t>UI básica dos três módulos coberta</t>
        </is>
      </c>
      <c r="I24" s="3" t="inlineStr">
        <is>
          <t>QA / Frontend</t>
        </is>
      </c>
      <c r="J24" s="9" t="inlineStr">
        <is>
          <t>Média</t>
        </is>
      </c>
      <c r="K24" s="8" t="inlineStr"/>
      <c r="L24" s="8" t="inlineStr"/>
      <c r="M24" s="3" t="inlineStr"/>
    </row>
    <row r="25">
      <c r="A25" s="3" t="inlineStr">
        <is>
          <t>DOC-007</t>
        </is>
      </c>
      <c r="B25" s="4" t="n">
        <v>5</v>
      </c>
      <c r="C25" s="3" t="inlineStr">
        <is>
          <t>Documentação</t>
        </is>
      </c>
      <c r="D25" s="3" t="inlineStr">
        <is>
          <t>Documentar os três módulos</t>
        </is>
      </c>
      <c r="E25" s="3" t="inlineStr">
        <is>
          <t>docs/api-contract.md; docs/user-guide.md</t>
        </is>
      </c>
      <c r="F25" s="3" t="inlineStr">
        <is>
          <t>BE-034, FE-030</t>
        </is>
      </c>
      <c r="G25" s="4" t="inlineStr">
        <is>
          <t>Não iniciada</t>
        </is>
      </c>
      <c r="H25" s="3" t="inlineStr">
        <is>
          <t>Uso e endpoints documentados</t>
        </is>
      </c>
      <c r="I25" s="3" t="inlineStr">
        <is>
          <t>Documentação</t>
        </is>
      </c>
      <c r="J25" s="9" t="inlineStr">
        <is>
          <t>Média</t>
        </is>
      </c>
      <c r="K25" s="8" t="inlineStr"/>
      <c r="L25" s="8" t="inlineStr"/>
      <c r="M25" s="3" t="inlineStr"/>
    </row>
  </sheetData>
  <autoFilter ref="A1:M25"/>
  <dataValidations count="1">
    <dataValidation sqref="G2:G25" showDropDown="0" showInputMessage="0" showErrorMessage="0" allowBlank="0" type="list">
      <formula1>"Não iniciada,Em andamento,Bloqueada,Em validação,Concluída"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2" customWidth="1" min="4" max="4"/>
    <col width="44" customWidth="1" min="5" max="5"/>
    <col width="22" customWidth="1" min="6" max="6"/>
    <col width="16" customWidth="1" min="7" max="7"/>
    <col width="38" customWidth="1" min="8" max="8"/>
    <col width="22" customWidth="1" min="9" max="9"/>
    <col width="12" customWidth="1" min="10" max="10"/>
    <col width="12" customWidth="1" min="11" max="11"/>
    <col width="14" customWidth="1" min="12" max="12"/>
    <col width="28" customWidth="1" min="13" max="13"/>
  </cols>
  <sheetData>
    <row r="1">
      <c r="A1" s="6" t="inlineStr">
        <is>
          <t>ID</t>
        </is>
      </c>
      <c r="B1" s="6" t="inlineStr">
        <is>
          <t>Sprint</t>
        </is>
      </c>
      <c r="C1" s="6" t="inlineStr">
        <is>
          <t>Área</t>
        </is>
      </c>
      <c r="D1" s="6" t="inlineStr">
        <is>
          <t>Descrição</t>
        </is>
      </c>
      <c r="E1" s="6" t="inlineStr">
        <is>
          <t>Arquivos principais</t>
        </is>
      </c>
      <c r="F1" s="6" t="inlineStr">
        <is>
          <t>Dependências</t>
        </is>
      </c>
      <c r="G1" s="6" t="inlineStr">
        <is>
          <t>Status</t>
        </is>
      </c>
      <c r="H1" s="6" t="inlineStr">
        <is>
          <t>Critério de aceite</t>
        </is>
      </c>
      <c r="I1" s="6" t="inlineStr">
        <is>
          <t>Responsável principal</t>
        </is>
      </c>
      <c r="J1" s="6" t="inlineStr">
        <is>
          <t>Prioridade</t>
        </is>
      </c>
      <c r="K1" s="6" t="inlineStr">
        <is>
          <t>Data início</t>
        </is>
      </c>
      <c r="L1" s="6" t="inlineStr">
        <is>
          <t>Data conclusão</t>
        </is>
      </c>
      <c r="M1" s="6" t="inlineStr">
        <is>
          <t>Observações/Bloqueios</t>
        </is>
      </c>
    </row>
    <row r="2">
      <c r="A2" s="3" t="inlineStr">
        <is>
          <t>BE-035</t>
        </is>
      </c>
      <c r="B2" s="4" t="n">
        <v>6</v>
      </c>
      <c r="C2" s="3" t="inlineStr">
        <is>
          <t>Backend</t>
        </is>
      </c>
      <c r="D2" s="3" t="inlineStr">
        <is>
          <t>Criar schema do Rotativo</t>
        </is>
      </c>
      <c r="E2" s="3" t="inlineStr">
        <is>
          <t>revolving_credit.py</t>
        </is>
      </c>
      <c r="F2" s="3" t="inlineStr">
        <is>
          <t>BE-003</t>
        </is>
      </c>
      <c r="G2" s="4" t="inlineStr">
        <is>
          <t>Não iniciada</t>
        </is>
      </c>
      <c r="H2" s="3" t="inlineStr">
        <is>
          <t>Contrato do módulo definido</t>
        </is>
      </c>
      <c r="I2" s="3" t="inlineStr">
        <is>
          <t>Backend</t>
        </is>
      </c>
      <c r="J2" s="7" t="inlineStr">
        <is>
          <t>Alta</t>
        </is>
      </c>
      <c r="K2" s="8" t="inlineStr"/>
      <c r="L2" s="8" t="inlineStr"/>
      <c r="M2" s="3" t="inlineStr"/>
    </row>
    <row r="3">
      <c r="A3" s="3" t="inlineStr">
        <is>
          <t>BE-036</t>
        </is>
      </c>
      <c r="B3" s="4" t="n">
        <v>6</v>
      </c>
      <c r="C3" s="3" t="inlineStr">
        <is>
          <t>Backend</t>
        </is>
      </c>
      <c r="D3" s="3" t="inlineStr">
        <is>
          <t>Implementar domínio do Rotativo</t>
        </is>
      </c>
      <c r="E3" s="3" t="inlineStr">
        <is>
          <t>backend/app/domain/credit_card/revolving.py</t>
        </is>
      </c>
      <c r="F3" s="3" t="inlineStr">
        <is>
          <t>BE-035</t>
        </is>
      </c>
      <c r="G3" s="4" t="inlineStr">
        <is>
          <t>Não iniciada</t>
        </is>
      </c>
      <c r="H3" s="3" t="inlineStr">
        <is>
          <t>Saldo remanescente e projeções calculados corretamente</t>
        </is>
      </c>
      <c r="I3" s="3" t="inlineStr">
        <is>
          <t>Backend</t>
        </is>
      </c>
      <c r="J3" s="7" t="inlineStr">
        <is>
          <t>Alta</t>
        </is>
      </c>
      <c r="K3" s="8" t="inlineStr"/>
      <c r="L3" s="8" t="inlineStr"/>
      <c r="M3" s="3" t="inlineStr"/>
    </row>
    <row r="4">
      <c r="A4" s="3" t="inlineStr">
        <is>
          <t>BE-037</t>
        </is>
      </c>
      <c r="B4" s="4" t="n">
        <v>6</v>
      </c>
      <c r="C4" s="3" t="inlineStr">
        <is>
          <t>Backend</t>
        </is>
      </c>
      <c r="D4" s="3" t="inlineStr">
        <is>
          <t>Criar serviço do Rotativo</t>
        </is>
      </c>
      <c r="E4" s="3" t="inlineStr">
        <is>
          <t>revolving_credit_service.py</t>
        </is>
      </c>
      <c r="F4" s="3" t="inlineStr">
        <is>
          <t>BE-036</t>
        </is>
      </c>
      <c r="G4" s="4" t="inlineStr">
        <is>
          <t>Não iniciada</t>
        </is>
      </c>
      <c r="H4" s="3" t="inlineStr">
        <is>
          <t>Serviço monta cenários comparativos e alertas</t>
        </is>
      </c>
      <c r="I4" s="3" t="inlineStr">
        <is>
          <t>Backend</t>
        </is>
      </c>
      <c r="J4" s="7" t="inlineStr">
        <is>
          <t>Alta</t>
        </is>
      </c>
      <c r="K4" s="8" t="inlineStr"/>
      <c r="L4" s="8" t="inlineStr"/>
      <c r="M4" s="3" t="inlineStr"/>
    </row>
    <row r="5">
      <c r="A5" s="3" t="inlineStr">
        <is>
          <t>BE-038</t>
        </is>
      </c>
      <c r="B5" s="4" t="n">
        <v>6</v>
      </c>
      <c r="C5" s="3" t="inlineStr">
        <is>
          <t>Backend</t>
        </is>
      </c>
      <c r="D5" s="3" t="inlineStr">
        <is>
          <t>Criar endpoint do Rotativo</t>
        </is>
      </c>
      <c r="E5" s="3" t="inlineStr">
        <is>
          <t>backend/app/api/routes/revolving_credit.py</t>
        </is>
      </c>
      <c r="F5" s="3" t="inlineStr">
        <is>
          <t>BE-037</t>
        </is>
      </c>
      <c r="G5" s="4" t="inlineStr">
        <is>
          <t>Não iniciada</t>
        </is>
      </c>
      <c r="H5" s="3" t="inlineStr">
        <is>
          <t>POST /api/v1/credit-card/revolving funcional</t>
        </is>
      </c>
      <c r="I5" s="3" t="inlineStr">
        <is>
          <t>Backend</t>
        </is>
      </c>
      <c r="J5" s="7" t="inlineStr">
        <is>
          <t>Alta</t>
        </is>
      </c>
      <c r="K5" s="8" t="inlineStr"/>
      <c r="L5" s="8" t="inlineStr"/>
      <c r="M5" s="3" t="inlineStr"/>
    </row>
    <row r="6">
      <c r="A6" s="3" t="inlineStr">
        <is>
          <t>FE-031</t>
        </is>
      </c>
      <c r="B6" s="4" t="n">
        <v>6</v>
      </c>
      <c r="C6" s="3" t="inlineStr">
        <is>
          <t>Frontend</t>
        </is>
      </c>
      <c r="D6" s="3" t="inlineStr">
        <is>
          <t>Criar página do Rotativo</t>
        </is>
      </c>
      <c r="E6" s="3" t="inlineStr">
        <is>
          <t>frontend/src/app/cartao-rotativo/page.tsx</t>
        </is>
      </c>
      <c r="F6" s="3" t="inlineStr">
        <is>
          <t>FE-007</t>
        </is>
      </c>
      <c r="G6" s="4" t="inlineStr">
        <is>
          <t>Não iniciada</t>
        </is>
      </c>
      <c r="H6" s="3" t="inlineStr">
        <is>
          <t>Página criada</t>
        </is>
      </c>
      <c r="I6" s="3" t="inlineStr">
        <is>
          <t>Frontend</t>
        </is>
      </c>
      <c r="J6" s="7" t="inlineStr">
        <is>
          <t>Alta</t>
        </is>
      </c>
      <c r="K6" s="8" t="inlineStr"/>
      <c r="L6" s="8" t="inlineStr"/>
      <c r="M6" s="3" t="inlineStr"/>
    </row>
    <row r="7">
      <c r="A7" s="3" t="inlineStr">
        <is>
          <t>FE-032</t>
        </is>
      </c>
      <c r="B7" s="4" t="n">
        <v>6</v>
      </c>
      <c r="C7" s="3" t="inlineStr">
        <is>
          <t>Frontend</t>
        </is>
      </c>
      <c r="D7" s="3" t="inlineStr">
        <is>
          <t>Criar formulário do Rotativo</t>
        </is>
      </c>
      <c r="E7" s="3" t="inlineStr">
        <is>
          <t>RevolvingCreditForm.tsx</t>
        </is>
      </c>
      <c r="F7" s="3" t="inlineStr">
        <is>
          <t>FE-031</t>
        </is>
      </c>
      <c r="G7" s="4" t="inlineStr">
        <is>
          <t>Não iniciada</t>
        </is>
      </c>
      <c r="H7" s="3" t="inlineStr">
        <is>
          <t>Formulário funcional</t>
        </is>
      </c>
      <c r="I7" s="3" t="inlineStr">
        <is>
          <t>Frontend</t>
        </is>
      </c>
      <c r="J7" s="7" t="inlineStr">
        <is>
          <t>Alta</t>
        </is>
      </c>
      <c r="K7" s="8" t="inlineStr"/>
      <c r="L7" s="8" t="inlineStr"/>
      <c r="M7" s="3" t="inlineStr"/>
    </row>
    <row r="8">
      <c r="A8" s="3" t="inlineStr">
        <is>
          <t>FE-033</t>
        </is>
      </c>
      <c r="B8" s="4" t="n">
        <v>6</v>
      </c>
      <c r="C8" s="3" t="inlineStr">
        <is>
          <t>Frontend</t>
        </is>
      </c>
      <c r="D8" s="3" t="inlineStr">
        <is>
          <t>Criar visualização do Rotativo</t>
        </is>
      </c>
      <c r="E8" s="3" t="inlineStr">
        <is>
          <t>componentes do módulo</t>
        </is>
      </c>
      <c r="F8" s="3" t="inlineStr">
        <is>
          <t>FE-032, BE-038</t>
        </is>
      </c>
      <c r="G8" s="4" t="inlineStr">
        <is>
          <t>Não iniciada</t>
        </is>
      </c>
      <c r="H8" s="3" t="inlineStr">
        <is>
          <t>Cenários e alertas exibidos</t>
        </is>
      </c>
      <c r="I8" s="3" t="inlineStr">
        <is>
          <t>Frontend</t>
        </is>
      </c>
      <c r="J8" s="7" t="inlineStr">
        <is>
          <t>Alta</t>
        </is>
      </c>
      <c r="K8" s="8" t="inlineStr"/>
      <c r="L8" s="8" t="inlineStr"/>
      <c r="M8" s="3" t="inlineStr"/>
    </row>
    <row r="9">
      <c r="A9" s="3" t="inlineStr">
        <is>
          <t>BE-039</t>
        </is>
      </c>
      <c r="B9" s="4" t="n">
        <v>6</v>
      </c>
      <c r="C9" s="3" t="inlineStr">
        <is>
          <t>Backend</t>
        </is>
      </c>
      <c r="D9" s="3" t="inlineStr">
        <is>
          <t>Criar schema de Parcela em Atraso</t>
        </is>
      </c>
      <c r="E9" s="3" t="inlineStr">
        <is>
          <t>late_payment.py</t>
        </is>
      </c>
      <c r="F9" s="3" t="inlineStr">
        <is>
          <t>BE-003</t>
        </is>
      </c>
      <c r="G9" s="4" t="inlineStr">
        <is>
          <t>Não iniciada</t>
        </is>
      </c>
      <c r="H9" s="3" t="inlineStr">
        <is>
          <t>Contrato do módulo definido</t>
        </is>
      </c>
      <c r="I9" s="3" t="inlineStr">
        <is>
          <t>Backend</t>
        </is>
      </c>
      <c r="J9" s="7" t="inlineStr">
        <is>
          <t>Alta</t>
        </is>
      </c>
      <c r="K9" s="8" t="inlineStr"/>
      <c r="L9" s="8" t="inlineStr"/>
      <c r="M9" s="3" t="inlineStr"/>
    </row>
    <row r="10">
      <c r="A10" s="3" t="inlineStr">
        <is>
          <t>BE-040</t>
        </is>
      </c>
      <c r="B10" s="4" t="n">
        <v>6</v>
      </c>
      <c r="C10" s="3" t="inlineStr">
        <is>
          <t>Backend</t>
        </is>
      </c>
      <c r="D10" s="3" t="inlineStr">
        <is>
          <t>Implementar domínio de Parcela em Atraso</t>
        </is>
      </c>
      <c r="E10" s="3" t="inlineStr">
        <is>
          <t>backend/app/domain/late_payment/calculator.py</t>
        </is>
      </c>
      <c r="F10" s="3" t="inlineStr">
        <is>
          <t>BE-039</t>
        </is>
      </c>
      <c r="G10" s="4" t="inlineStr">
        <is>
          <t>Não iniciada</t>
        </is>
      </c>
      <c r="H10" s="3" t="inlineStr">
        <is>
          <t>Multa, mora, correção e memória calculadas corretamente</t>
        </is>
      </c>
      <c r="I10" s="3" t="inlineStr">
        <is>
          <t>Backend</t>
        </is>
      </c>
      <c r="J10" s="7" t="inlineStr">
        <is>
          <t>Alta</t>
        </is>
      </c>
      <c r="K10" s="8" t="inlineStr"/>
      <c r="L10" s="8" t="inlineStr"/>
      <c r="M10" s="3" t="inlineStr"/>
    </row>
    <row r="11">
      <c r="A11" s="3" t="inlineStr">
        <is>
          <t>BE-041</t>
        </is>
      </c>
      <c r="B11" s="4" t="n">
        <v>6</v>
      </c>
      <c r="C11" s="3" t="inlineStr">
        <is>
          <t>Backend</t>
        </is>
      </c>
      <c r="D11" s="3" t="inlineStr">
        <is>
          <t>Criar serviço de Parcela em Atraso</t>
        </is>
      </c>
      <c r="E11" s="3" t="inlineStr">
        <is>
          <t>late_payment_service.py</t>
        </is>
      </c>
      <c r="F11" s="3" t="inlineStr">
        <is>
          <t>BE-040</t>
        </is>
      </c>
      <c r="G11" s="4" t="inlineStr">
        <is>
          <t>Não iniciada</t>
        </is>
      </c>
      <c r="H11" s="3" t="inlineStr">
        <is>
          <t>Serviço gera tabela de atraso padrão e interpretação</t>
        </is>
      </c>
      <c r="I11" s="3" t="inlineStr">
        <is>
          <t>Backend</t>
        </is>
      </c>
      <c r="J11" s="7" t="inlineStr">
        <is>
          <t>Alta</t>
        </is>
      </c>
      <c r="K11" s="8" t="inlineStr"/>
      <c r="L11" s="8" t="inlineStr"/>
      <c r="M11" s="3" t="inlineStr"/>
    </row>
    <row r="12">
      <c r="A12" s="3" t="inlineStr">
        <is>
          <t>BE-042</t>
        </is>
      </c>
      <c r="B12" s="4" t="n">
        <v>6</v>
      </c>
      <c r="C12" s="3" t="inlineStr">
        <is>
          <t>Backend</t>
        </is>
      </c>
      <c r="D12" s="3" t="inlineStr">
        <is>
          <t>Criar endpoint de Parcela em Atraso</t>
        </is>
      </c>
      <c r="E12" s="3" t="inlineStr">
        <is>
          <t>backend/app/api/routes/late_payment.py</t>
        </is>
      </c>
      <c r="F12" s="3" t="inlineStr">
        <is>
          <t>BE-041</t>
        </is>
      </c>
      <c r="G12" s="4" t="inlineStr">
        <is>
          <t>Não iniciada</t>
        </is>
      </c>
      <c r="H12" s="3" t="inlineStr">
        <is>
          <t>POST /api/v1/late-payment funcional</t>
        </is>
      </c>
      <c r="I12" s="3" t="inlineStr">
        <is>
          <t>Backend</t>
        </is>
      </c>
      <c r="J12" s="7" t="inlineStr">
        <is>
          <t>Alta</t>
        </is>
      </c>
      <c r="K12" s="8" t="inlineStr"/>
      <c r="L12" s="8" t="inlineStr"/>
      <c r="M12" s="3" t="inlineStr"/>
    </row>
    <row r="13">
      <c r="A13" s="3" t="inlineStr">
        <is>
          <t>FE-034</t>
        </is>
      </c>
      <c r="B13" s="4" t="n">
        <v>6</v>
      </c>
      <c r="C13" s="3" t="inlineStr">
        <is>
          <t>Frontend</t>
        </is>
      </c>
      <c r="D13" s="3" t="inlineStr">
        <is>
          <t>Criar página de Parcela em Atraso</t>
        </is>
      </c>
      <c r="E13" s="3" t="inlineStr">
        <is>
          <t>frontend/src/app/parcela-atraso/page.tsx</t>
        </is>
      </c>
      <c r="F13" s="3" t="inlineStr">
        <is>
          <t>FE-007</t>
        </is>
      </c>
      <c r="G13" s="4" t="inlineStr">
        <is>
          <t>Não iniciada</t>
        </is>
      </c>
      <c r="H13" s="3" t="inlineStr">
        <is>
          <t>Página criada</t>
        </is>
      </c>
      <c r="I13" s="3" t="inlineStr">
        <is>
          <t>Frontend</t>
        </is>
      </c>
      <c r="J13" s="7" t="inlineStr">
        <is>
          <t>Alta</t>
        </is>
      </c>
      <c r="K13" s="8" t="inlineStr"/>
      <c r="L13" s="8" t="inlineStr"/>
      <c r="M13" s="3" t="inlineStr"/>
    </row>
    <row r="14">
      <c r="A14" s="3" t="inlineStr">
        <is>
          <t>FE-035</t>
        </is>
      </c>
      <c r="B14" s="4" t="n">
        <v>6</v>
      </c>
      <c r="C14" s="3" t="inlineStr">
        <is>
          <t>Frontend</t>
        </is>
      </c>
      <c r="D14" s="3" t="inlineStr">
        <is>
          <t>Criar formulário de Parcela em Atraso</t>
        </is>
      </c>
      <c r="E14" s="3" t="inlineStr">
        <is>
          <t>LatePaymentForm.tsx</t>
        </is>
      </c>
      <c r="F14" s="3" t="inlineStr">
        <is>
          <t>FE-034</t>
        </is>
      </c>
      <c r="G14" s="4" t="inlineStr">
        <is>
          <t>Não iniciada</t>
        </is>
      </c>
      <c r="H14" s="3" t="inlineStr">
        <is>
          <t>Formulário funcional</t>
        </is>
      </c>
      <c r="I14" s="3" t="inlineStr">
        <is>
          <t>Frontend</t>
        </is>
      </c>
      <c r="J14" s="7" t="inlineStr">
        <is>
          <t>Alta</t>
        </is>
      </c>
      <c r="K14" s="8" t="inlineStr"/>
      <c r="L14" s="8" t="inlineStr"/>
      <c r="M14" s="3" t="inlineStr"/>
    </row>
    <row r="15">
      <c r="A15" s="3" t="inlineStr">
        <is>
          <t>FE-036</t>
        </is>
      </c>
      <c r="B15" s="4" t="n">
        <v>6</v>
      </c>
      <c r="C15" s="3" t="inlineStr">
        <is>
          <t>Frontend</t>
        </is>
      </c>
      <c r="D15" s="3" t="inlineStr">
        <is>
          <t>Criar visualização de Parcela em Atraso</t>
        </is>
      </c>
      <c r="E15" s="3" t="inlineStr">
        <is>
          <t>componentes do módulo</t>
        </is>
      </c>
      <c r="F15" s="3" t="inlineStr">
        <is>
          <t>FE-035, BE-042</t>
        </is>
      </c>
      <c r="G15" s="4" t="inlineStr">
        <is>
          <t>Não iniciada</t>
        </is>
      </c>
      <c r="H15" s="3" t="inlineStr">
        <is>
          <t>Resultado completo exibido</t>
        </is>
      </c>
      <c r="I15" s="3" t="inlineStr">
        <is>
          <t>Frontend</t>
        </is>
      </c>
      <c r="J15" s="7" t="inlineStr">
        <is>
          <t>Alta</t>
        </is>
      </c>
      <c r="K15" s="8" t="inlineStr"/>
      <c r="L15" s="8" t="inlineStr"/>
      <c r="M15" s="3" t="inlineStr"/>
    </row>
    <row r="16">
      <c r="A16" s="3" t="inlineStr">
        <is>
          <t>BE-043</t>
        </is>
      </c>
      <c r="B16" s="4" t="n">
        <v>6</v>
      </c>
      <c r="C16" s="3" t="inlineStr">
        <is>
          <t>Backend</t>
        </is>
      </c>
      <c r="D16" s="3" t="inlineStr">
        <is>
          <t>Criar catálogo inicial de indicadores</t>
        </is>
      </c>
      <c r="E16" s="3" t="inlineStr">
        <is>
          <t>backend/app/domain/indicators/catalog.py</t>
        </is>
      </c>
      <c r="F16" s="3" t="inlineStr">
        <is>
          <t>BE-003</t>
        </is>
      </c>
      <c r="G16" s="4" t="inlineStr">
        <is>
          <t>Não iniciada</t>
        </is>
      </c>
      <c r="H16" s="3" t="inlineStr">
        <is>
          <t>Indicadores iniciais estruturados</t>
        </is>
      </c>
      <c r="I16" s="3" t="inlineStr">
        <is>
          <t>Backend</t>
        </is>
      </c>
      <c r="J16" s="9" t="inlineStr">
        <is>
          <t>Média</t>
        </is>
      </c>
      <c r="K16" s="8" t="inlineStr"/>
      <c r="L16" s="8" t="inlineStr"/>
      <c r="M16" s="3" t="inlineStr"/>
    </row>
    <row r="17">
      <c r="A17" s="3" t="inlineStr">
        <is>
          <t>BE-044</t>
        </is>
      </c>
      <c r="B17" s="4" t="n">
        <v>6</v>
      </c>
      <c r="C17" s="3" t="inlineStr">
        <is>
          <t>Backend</t>
        </is>
      </c>
      <c r="D17" s="3" t="inlineStr">
        <is>
          <t>Criar serviço de indicadores</t>
        </is>
      </c>
      <c r="E17" s="3" t="inlineStr">
        <is>
          <t>indicator_service.py</t>
        </is>
      </c>
      <c r="F17" s="3" t="inlineStr">
        <is>
          <t>BE-043</t>
        </is>
      </c>
      <c r="G17" s="4" t="inlineStr">
        <is>
          <t>Não iniciada</t>
        </is>
      </c>
      <c r="H17" s="3" t="inlineStr">
        <is>
          <t>Serviço lista e detalha indicadores</t>
        </is>
      </c>
      <c r="I17" s="3" t="inlineStr">
        <is>
          <t>Backend</t>
        </is>
      </c>
      <c r="J17" s="9" t="inlineStr">
        <is>
          <t>Média</t>
        </is>
      </c>
      <c r="K17" s="8" t="inlineStr"/>
      <c r="L17" s="8" t="inlineStr"/>
      <c r="M17" s="3" t="inlineStr"/>
    </row>
    <row r="18">
      <c r="A18" s="3" t="inlineStr">
        <is>
          <t>BE-045</t>
        </is>
      </c>
      <c r="B18" s="4" t="n">
        <v>6</v>
      </c>
      <c r="C18" s="3" t="inlineStr">
        <is>
          <t>Backend</t>
        </is>
      </c>
      <c r="D18" s="3" t="inlineStr">
        <is>
          <t>Criar rotas de indicadores</t>
        </is>
      </c>
      <c r="E18" s="3" t="inlineStr">
        <is>
          <t>backend/app/api/routes/indicators.py</t>
        </is>
      </c>
      <c r="F18" s="3" t="inlineStr">
        <is>
          <t>BE-044</t>
        </is>
      </c>
      <c r="G18" s="4" t="inlineStr">
        <is>
          <t>Não iniciada</t>
        </is>
      </c>
      <c r="H18" s="3" t="inlineStr">
        <is>
          <t>GET /api/v1/indicators e detalhe funcionais</t>
        </is>
      </c>
      <c r="I18" s="3" t="inlineStr">
        <is>
          <t>Backend</t>
        </is>
      </c>
      <c r="J18" s="9" t="inlineStr">
        <is>
          <t>Média</t>
        </is>
      </c>
      <c r="K18" s="8" t="inlineStr"/>
      <c r="L18" s="8" t="inlineStr"/>
      <c r="M18" s="3" t="inlineStr"/>
    </row>
    <row r="19">
      <c r="A19" s="3" t="inlineStr">
        <is>
          <t>FE-037</t>
        </is>
      </c>
      <c r="B19" s="4" t="n">
        <v>6</v>
      </c>
      <c r="C19" s="3" t="inlineStr">
        <is>
          <t>Frontend</t>
        </is>
      </c>
      <c r="D19" s="3" t="inlineStr">
        <is>
          <t>Criar página de Indicadores</t>
        </is>
      </c>
      <c r="E19" s="3" t="inlineStr">
        <is>
          <t>frontend/src/app/indicadores/page.tsx</t>
        </is>
      </c>
      <c r="F19" s="3" t="inlineStr">
        <is>
          <t>FE-007</t>
        </is>
      </c>
      <c r="G19" s="4" t="inlineStr">
        <is>
          <t>Não iniciada</t>
        </is>
      </c>
      <c r="H19" s="3" t="inlineStr">
        <is>
          <t>Página criada</t>
        </is>
      </c>
      <c r="I19" s="3" t="inlineStr">
        <is>
          <t>Frontend</t>
        </is>
      </c>
      <c r="J19" s="9" t="inlineStr">
        <is>
          <t>Média</t>
        </is>
      </c>
      <c r="K19" s="8" t="inlineStr"/>
      <c r="L19" s="8" t="inlineStr"/>
      <c r="M19" s="3" t="inlineStr"/>
    </row>
    <row r="20">
      <c r="A20" s="3" t="inlineStr">
        <is>
          <t>FE-038</t>
        </is>
      </c>
      <c r="B20" s="4" t="n">
        <v>6</v>
      </c>
      <c r="C20" s="3" t="inlineStr">
        <is>
          <t>Frontend</t>
        </is>
      </c>
      <c r="D20" s="3" t="inlineStr">
        <is>
          <t>Criar lista de indicadores</t>
        </is>
      </c>
      <c r="E20" s="3" t="inlineStr">
        <is>
          <t>componentes do módulo</t>
        </is>
      </c>
      <c r="F20" s="3" t="inlineStr">
        <is>
          <t>FE-037, BE-045</t>
        </is>
      </c>
      <c r="G20" s="4" t="inlineStr">
        <is>
          <t>Não iniciada</t>
        </is>
      </c>
      <c r="H20" s="3" t="inlineStr">
        <is>
          <t>Lista funcional com navegação para detalhe</t>
        </is>
      </c>
      <c r="I20" s="3" t="inlineStr">
        <is>
          <t>Frontend</t>
        </is>
      </c>
      <c r="J20" s="9" t="inlineStr">
        <is>
          <t>Média</t>
        </is>
      </c>
      <c r="K20" s="8" t="inlineStr"/>
      <c r="L20" s="8" t="inlineStr"/>
      <c r="M20" s="3" t="inlineStr"/>
    </row>
    <row r="21">
      <c r="A21" s="3" t="inlineStr">
        <is>
          <t>FE-039</t>
        </is>
      </c>
      <c r="B21" s="4" t="n">
        <v>6</v>
      </c>
      <c r="C21" s="3" t="inlineStr">
        <is>
          <t>Frontend</t>
        </is>
      </c>
      <c r="D21" s="3" t="inlineStr">
        <is>
          <t>Criar detalhe de indicador</t>
        </is>
      </c>
      <c r="E21" s="3" t="inlineStr">
        <is>
          <t>componentes/página de detalhe</t>
        </is>
      </c>
      <c r="F21" s="3" t="inlineStr">
        <is>
          <t>FE-038, BE-045</t>
        </is>
      </c>
      <c r="G21" s="4" t="inlineStr">
        <is>
          <t>Não iniciada</t>
        </is>
      </c>
      <c r="H21" s="3" t="inlineStr">
        <is>
          <t>Detalhe educativo exibido</t>
        </is>
      </c>
      <c r="I21" s="3" t="inlineStr">
        <is>
          <t>Frontend</t>
        </is>
      </c>
      <c r="J21" s="9" t="inlineStr">
        <is>
          <t>Média</t>
        </is>
      </c>
      <c r="K21" s="8" t="inlineStr"/>
      <c r="L21" s="8" t="inlineStr"/>
      <c r="M21" s="3" t="inlineStr"/>
    </row>
    <row r="22">
      <c r="A22" s="3" t="inlineStr">
        <is>
          <t>QA-014</t>
        </is>
      </c>
      <c r="B22" s="4" t="n">
        <v>6</v>
      </c>
      <c r="C22" s="3" t="inlineStr">
        <is>
          <t>Testes</t>
        </is>
      </c>
      <c r="D22" s="3" t="inlineStr">
        <is>
          <t>Testes backend da sprint</t>
        </is>
      </c>
      <c r="E22" s="3" t="inlineStr">
        <is>
          <t>rotativo, atraso e indicadores</t>
        </is>
      </c>
      <c r="F22" s="3" t="inlineStr">
        <is>
          <t>BE-038, BE-042, BE-045</t>
        </is>
      </c>
      <c r="G22" s="4" t="inlineStr">
        <is>
          <t>Não iniciada</t>
        </is>
      </c>
      <c r="H22" s="3" t="inlineStr">
        <is>
          <t>Três blocos protegidos por testes essenciais</t>
        </is>
      </c>
      <c r="I22" s="3" t="inlineStr">
        <is>
          <t>QA / Backend</t>
        </is>
      </c>
      <c r="J22" s="7" t="inlineStr">
        <is>
          <t>Alta</t>
        </is>
      </c>
      <c r="K22" s="8" t="inlineStr"/>
      <c r="L22" s="8" t="inlineStr"/>
      <c r="M22" s="3" t="inlineStr"/>
    </row>
    <row r="23">
      <c r="A23" s="3" t="inlineStr">
        <is>
          <t>QA-015</t>
        </is>
      </c>
      <c r="B23" s="4" t="n">
        <v>6</v>
      </c>
      <c r="C23" s="3" t="inlineStr">
        <is>
          <t>Testes</t>
        </is>
      </c>
      <c r="D23" s="3" t="inlineStr">
        <is>
          <t>Testes frontend da sprint</t>
        </is>
      </c>
      <c r="E23" s="3" t="inlineStr">
        <is>
          <t>rotativo, atraso e indicadores</t>
        </is>
      </c>
      <c r="F23" s="3" t="inlineStr">
        <is>
          <t>FE-033, FE-036, FE-039</t>
        </is>
      </c>
      <c r="G23" s="4" t="inlineStr">
        <is>
          <t>Não iniciada</t>
        </is>
      </c>
      <c r="H23" s="3" t="inlineStr">
        <is>
          <t>UI da sprint coberta minimamente</t>
        </is>
      </c>
      <c r="I23" s="3" t="inlineStr">
        <is>
          <t>QA / Frontend</t>
        </is>
      </c>
      <c r="J23" s="9" t="inlineStr">
        <is>
          <t>Média</t>
        </is>
      </c>
      <c r="K23" s="8" t="inlineStr"/>
      <c r="L23" s="8" t="inlineStr"/>
      <c r="M23" s="3" t="inlineStr"/>
    </row>
    <row r="24">
      <c r="A24" s="3" t="inlineStr">
        <is>
          <t>DOC-008</t>
        </is>
      </c>
      <c r="B24" s="4" t="n">
        <v>6</v>
      </c>
      <c r="C24" s="3" t="inlineStr">
        <is>
          <t>Documentação</t>
        </is>
      </c>
      <c r="D24" s="3" t="inlineStr">
        <is>
          <t>Documentar rotativo, atraso e indicadores</t>
        </is>
      </c>
      <c r="E24" s="3" t="inlineStr">
        <is>
          <t>docs/api-contract.md; docs/user-guide.md; docs/formulas.md</t>
        </is>
      </c>
      <c r="F24" s="3" t="inlineStr">
        <is>
          <t>BE-045, FE-039</t>
        </is>
      </c>
      <c r="G24" s="4" t="inlineStr">
        <is>
          <t>Não iniciada</t>
        </is>
      </c>
      <c r="H24" s="3" t="inlineStr">
        <is>
          <t>Conteúdo e contratos documentados</t>
        </is>
      </c>
      <c r="I24" s="3" t="inlineStr">
        <is>
          <t>Documentação</t>
        </is>
      </c>
      <c r="J24" s="9" t="inlineStr">
        <is>
          <t>Média</t>
        </is>
      </c>
      <c r="K24" s="8" t="inlineStr"/>
      <c r="L24" s="8" t="inlineStr"/>
      <c r="M24" s="3" t="inlineStr"/>
    </row>
  </sheetData>
  <autoFilter ref="A1:M24"/>
  <dataValidations count="1">
    <dataValidation sqref="G2:G24" showDropDown="0" showInputMessage="0" showErrorMessage="0" allowBlank="0" type="list">
      <formula1>"Não iniciada,Em andamento,Bloqueada,Em validação,Concluída"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2" customWidth="1" min="4" max="4"/>
    <col width="44" customWidth="1" min="5" max="5"/>
    <col width="22" customWidth="1" min="6" max="6"/>
    <col width="16" customWidth="1" min="7" max="7"/>
    <col width="38" customWidth="1" min="8" max="8"/>
    <col width="22" customWidth="1" min="9" max="9"/>
    <col width="12" customWidth="1" min="10" max="10"/>
    <col width="12" customWidth="1" min="11" max="11"/>
    <col width="14" customWidth="1" min="12" max="12"/>
    <col width="28" customWidth="1" min="13" max="13"/>
  </cols>
  <sheetData>
    <row r="1">
      <c r="A1" s="6" t="inlineStr">
        <is>
          <t>ID</t>
        </is>
      </c>
      <c r="B1" s="6" t="inlineStr">
        <is>
          <t>Sprint</t>
        </is>
      </c>
      <c r="C1" s="6" t="inlineStr">
        <is>
          <t>Área</t>
        </is>
      </c>
      <c r="D1" s="6" t="inlineStr">
        <is>
          <t>Descrição</t>
        </is>
      </c>
      <c r="E1" s="6" t="inlineStr">
        <is>
          <t>Arquivos principais</t>
        </is>
      </c>
      <c r="F1" s="6" t="inlineStr">
        <is>
          <t>Dependências</t>
        </is>
      </c>
      <c r="G1" s="6" t="inlineStr">
        <is>
          <t>Status</t>
        </is>
      </c>
      <c r="H1" s="6" t="inlineStr">
        <is>
          <t>Critério de aceite</t>
        </is>
      </c>
      <c r="I1" s="6" t="inlineStr">
        <is>
          <t>Responsável principal</t>
        </is>
      </c>
      <c r="J1" s="6" t="inlineStr">
        <is>
          <t>Prioridade</t>
        </is>
      </c>
      <c r="K1" s="6" t="inlineStr">
        <is>
          <t>Data início</t>
        </is>
      </c>
      <c r="L1" s="6" t="inlineStr">
        <is>
          <t>Data conclusão</t>
        </is>
      </c>
      <c r="M1" s="6" t="inlineStr">
        <is>
          <t>Observações/Bloqueios</t>
        </is>
      </c>
    </row>
    <row r="2">
      <c r="A2" s="3" t="inlineStr">
        <is>
          <t>BE-046</t>
        </is>
      </c>
      <c r="B2" s="4" t="n">
        <v>7</v>
      </c>
      <c r="C2" s="3" t="inlineStr">
        <is>
          <t>Backend</t>
        </is>
      </c>
      <c r="D2" s="3" t="inlineStr">
        <is>
          <t>Estruturar conteúdo educacional inicial</t>
        </is>
      </c>
      <c r="E2" s="3" t="inlineStr">
        <is>
          <t>contents.py; education_service.py; education.py</t>
        </is>
      </c>
      <c r="F2" s="3" t="inlineStr">
        <is>
          <t>BE-003</t>
        </is>
      </c>
      <c r="G2" s="4" t="inlineStr">
        <is>
          <t>Não iniciada</t>
        </is>
      </c>
      <c r="H2" s="3" t="inlineStr">
        <is>
          <t>Conteúdos podem ser listados e recuperados</t>
        </is>
      </c>
      <c r="I2" s="3" t="inlineStr">
        <is>
          <t>Backend</t>
        </is>
      </c>
      <c r="J2" s="9" t="inlineStr">
        <is>
          <t>Média</t>
        </is>
      </c>
      <c r="K2" s="8" t="inlineStr"/>
      <c r="L2" s="8" t="inlineStr"/>
      <c r="M2" s="3" t="inlineStr"/>
    </row>
    <row r="3">
      <c r="A3" s="3" t="inlineStr">
        <is>
          <t>BE-047</t>
        </is>
      </c>
      <c r="B3" s="4" t="n">
        <v>7</v>
      </c>
      <c r="C3" s="3" t="inlineStr">
        <is>
          <t>Backend</t>
        </is>
      </c>
      <c r="D3" s="3" t="inlineStr">
        <is>
          <t>Estruturar glossário inicial</t>
        </is>
      </c>
      <c r="E3" s="3" t="inlineStr">
        <is>
          <t>estruturas de glossário</t>
        </is>
      </c>
      <c r="F3" s="3" t="inlineStr">
        <is>
          <t>BE-046</t>
        </is>
      </c>
      <c r="G3" s="4" t="inlineStr">
        <is>
          <t>Não iniciada</t>
        </is>
      </c>
      <c r="H3" s="3" t="inlineStr">
        <is>
          <t>Glossário disponível via API ou provider</t>
        </is>
      </c>
      <c r="I3" s="3" t="inlineStr">
        <is>
          <t>Backend</t>
        </is>
      </c>
      <c r="J3" s="9" t="inlineStr">
        <is>
          <t>Média</t>
        </is>
      </c>
      <c r="K3" s="8" t="inlineStr"/>
      <c r="L3" s="8" t="inlineStr"/>
      <c r="M3" s="3" t="inlineStr"/>
    </row>
    <row r="4">
      <c r="A4" s="3" t="inlineStr">
        <is>
          <t>BE-048</t>
        </is>
      </c>
      <c r="B4" s="4" t="n">
        <v>7</v>
      </c>
      <c r="C4" s="3" t="inlineStr">
        <is>
          <t>Backend</t>
        </is>
      </c>
      <c r="D4" s="3" t="inlineStr">
        <is>
          <t>Estruturar FAQ inicial</t>
        </is>
      </c>
      <c r="E4" s="3" t="inlineStr">
        <is>
          <t>estruturas de FAQ</t>
        </is>
      </c>
      <c r="F4" s="3" t="inlineStr">
        <is>
          <t>BE-046</t>
        </is>
      </c>
      <c r="G4" s="4" t="inlineStr">
        <is>
          <t>Não iniciada</t>
        </is>
      </c>
      <c r="H4" s="3" t="inlineStr">
        <is>
          <t>FAQ disponível via API ou provider</t>
        </is>
      </c>
      <c r="I4" s="3" t="inlineStr">
        <is>
          <t>Backend</t>
        </is>
      </c>
      <c r="J4" s="9" t="inlineStr">
        <is>
          <t>Média</t>
        </is>
      </c>
      <c r="K4" s="8" t="inlineStr"/>
      <c r="L4" s="8" t="inlineStr"/>
      <c r="M4" s="3" t="inlineStr"/>
    </row>
    <row r="5">
      <c r="A5" s="3" t="inlineStr">
        <is>
          <t>FE-040</t>
        </is>
      </c>
      <c r="B5" s="4" t="n">
        <v>7</v>
      </c>
      <c r="C5" s="3" t="inlineStr">
        <is>
          <t>Frontend</t>
        </is>
      </c>
      <c r="D5" s="3" t="inlineStr">
        <is>
          <t>Criar página do Glossário</t>
        </is>
      </c>
      <c r="E5" s="3" t="inlineStr">
        <is>
          <t>frontend/src/app/glossario/page.tsx</t>
        </is>
      </c>
      <c r="F5" s="3" t="inlineStr">
        <is>
          <t>FE-007, BE-047</t>
        </is>
      </c>
      <c r="G5" s="4" t="inlineStr">
        <is>
          <t>Não iniciada</t>
        </is>
      </c>
      <c r="H5" s="3" t="inlineStr">
        <is>
          <t>Glossário navegável</t>
        </is>
      </c>
      <c r="I5" s="3" t="inlineStr">
        <is>
          <t>Frontend</t>
        </is>
      </c>
      <c r="J5" s="9" t="inlineStr">
        <is>
          <t>Média</t>
        </is>
      </c>
      <c r="K5" s="8" t="inlineStr"/>
      <c r="L5" s="8" t="inlineStr"/>
      <c r="M5" s="3" t="inlineStr"/>
    </row>
    <row r="6">
      <c r="A6" s="3" t="inlineStr">
        <is>
          <t>FE-041</t>
        </is>
      </c>
      <c r="B6" s="4" t="n">
        <v>7</v>
      </c>
      <c r="C6" s="3" t="inlineStr">
        <is>
          <t>Frontend</t>
        </is>
      </c>
      <c r="D6" s="3" t="inlineStr">
        <is>
          <t>Criar página de FAQ</t>
        </is>
      </c>
      <c r="E6" s="3" t="inlineStr">
        <is>
          <t>frontend/src/app/faq/page.tsx</t>
        </is>
      </c>
      <c r="F6" s="3" t="inlineStr">
        <is>
          <t>FE-007, BE-048</t>
        </is>
      </c>
      <c r="G6" s="4" t="inlineStr">
        <is>
          <t>Não iniciada</t>
        </is>
      </c>
      <c r="H6" s="3" t="inlineStr">
        <is>
          <t>FAQ navegável</t>
        </is>
      </c>
      <c r="I6" s="3" t="inlineStr">
        <is>
          <t>Frontend</t>
        </is>
      </c>
      <c r="J6" s="9" t="inlineStr">
        <is>
          <t>Média</t>
        </is>
      </c>
      <c r="K6" s="8" t="inlineStr"/>
      <c r="L6" s="8" t="inlineStr"/>
      <c r="M6" s="3" t="inlineStr"/>
    </row>
    <row r="7">
      <c r="A7" s="3" t="inlineStr">
        <is>
          <t>FE-042</t>
        </is>
      </c>
      <c r="B7" s="4" t="n">
        <v>7</v>
      </c>
      <c r="C7" s="3" t="inlineStr">
        <is>
          <t>Frontend</t>
        </is>
      </c>
      <c r="D7" s="3" t="inlineStr">
        <is>
          <t>Integrar EducationPanel aos módulos</t>
        </is>
      </c>
      <c r="E7" s="3" t="inlineStr">
        <is>
          <t>módulos do MVP + EducationPanel.tsx</t>
        </is>
      </c>
      <c r="F7" s="3" t="inlineStr">
        <is>
          <t>FE-009, BE-046</t>
        </is>
      </c>
      <c r="G7" s="4" t="inlineStr">
        <is>
          <t>Não iniciada</t>
        </is>
      </c>
      <c r="H7" s="3" t="inlineStr">
        <is>
          <t>Módulos do MVP exibem bloco educativo contextual</t>
        </is>
      </c>
      <c r="I7" s="3" t="inlineStr">
        <is>
          <t>Frontend</t>
        </is>
      </c>
      <c r="J7" s="7" t="inlineStr">
        <is>
          <t>Alta</t>
        </is>
      </c>
      <c r="K7" s="8" t="inlineStr"/>
      <c r="L7" s="8" t="inlineStr"/>
      <c r="M7" s="3" t="inlineStr"/>
    </row>
    <row r="8">
      <c r="A8" s="3" t="inlineStr">
        <is>
          <t>FE-043</t>
        </is>
      </c>
      <c r="B8" s="4" t="n">
        <v>7</v>
      </c>
      <c r="C8" s="3" t="inlineStr">
        <is>
          <t>Frontend</t>
        </is>
      </c>
      <c r="D8" s="3" t="inlineStr">
        <is>
          <t>Criar links contextuais para termos e FAQs</t>
        </is>
      </c>
      <c r="E8" s="3" t="inlineStr">
        <is>
          <t>componentes de ajuda contextual</t>
        </is>
      </c>
      <c r="F8" s="3" t="inlineStr">
        <is>
          <t>FE-040, FE-041, FE-042</t>
        </is>
      </c>
      <c r="G8" s="4" t="inlineStr">
        <is>
          <t>Não iniciada</t>
        </is>
      </c>
      <c r="H8" s="3" t="inlineStr">
        <is>
          <t>Termos técnicos clicáveis ou acessíveis no contexto</t>
        </is>
      </c>
      <c r="I8" s="3" t="inlineStr">
        <is>
          <t>Frontend</t>
        </is>
      </c>
      <c r="J8" s="9" t="inlineStr">
        <is>
          <t>Média</t>
        </is>
      </c>
      <c r="K8" s="8" t="inlineStr"/>
      <c r="L8" s="8" t="inlineStr"/>
      <c r="M8" s="3" t="inlineStr"/>
    </row>
    <row r="9">
      <c r="A9" s="3" t="inlineStr">
        <is>
          <t>FE-044</t>
        </is>
      </c>
      <c r="B9" s="4" t="n">
        <v>7</v>
      </c>
      <c r="C9" s="3" t="inlineStr">
        <is>
          <t>Frontend</t>
        </is>
      </c>
      <c r="D9" s="3" t="inlineStr">
        <is>
          <t>Revisar microcopy dos módulos do MVP</t>
        </is>
      </c>
      <c r="E9" s="3" t="inlineStr">
        <is>
          <t>páginas e componentes dos módulos do MVP</t>
        </is>
      </c>
      <c r="F9" s="3" t="inlineStr">
        <is>
          <t>FE-042</t>
        </is>
      </c>
      <c r="G9" s="4" t="inlineStr">
        <is>
          <t>Não iniciada</t>
        </is>
      </c>
      <c r="H9" s="3" t="inlineStr">
        <is>
          <t>Linguagem consistente, clara e didática</t>
        </is>
      </c>
      <c r="I9" s="3" t="inlineStr">
        <is>
          <t>Frontend / Conteúdo</t>
        </is>
      </c>
      <c r="J9" s="7" t="inlineStr">
        <is>
          <t>Alta</t>
        </is>
      </c>
      <c r="K9" s="8" t="inlineStr"/>
      <c r="L9" s="8" t="inlineStr"/>
      <c r="M9" s="3" t="inlineStr"/>
    </row>
    <row r="10">
      <c r="A10" s="3" t="inlineStr">
        <is>
          <t>QA-016</t>
        </is>
      </c>
      <c r="B10" s="4" t="n">
        <v>7</v>
      </c>
      <c r="C10" s="3" t="inlineStr">
        <is>
          <t>Testes</t>
        </is>
      </c>
      <c r="D10" s="3" t="inlineStr">
        <is>
          <t>Testes do conteúdo educacional</t>
        </is>
      </c>
      <c r="E10" s="3" t="inlineStr">
        <is>
          <t>testes de listagem, detalhe e renderização</t>
        </is>
      </c>
      <c r="F10" s="3" t="inlineStr">
        <is>
          <t>BE-048, FE-044</t>
        </is>
      </c>
      <c r="G10" s="4" t="inlineStr">
        <is>
          <t>Não iniciada</t>
        </is>
      </c>
      <c r="H10" s="3" t="inlineStr">
        <is>
          <t>Conteúdo essencial acessível e coerente</t>
        </is>
      </c>
      <c r="I10" s="3" t="inlineStr">
        <is>
          <t>QA</t>
        </is>
      </c>
      <c r="J10" s="9" t="inlineStr">
        <is>
          <t>Média</t>
        </is>
      </c>
      <c r="K10" s="8" t="inlineStr"/>
      <c r="L10" s="8" t="inlineStr"/>
      <c r="M10" s="3" t="inlineStr"/>
    </row>
    <row r="11">
      <c r="A11" s="3" t="inlineStr">
        <is>
          <t>QA-017</t>
        </is>
      </c>
      <c r="B11" s="4" t="n">
        <v>7</v>
      </c>
      <c r="C11" s="3" t="inlineStr">
        <is>
          <t>Testes</t>
        </is>
      </c>
      <c r="D11" s="3" t="inlineStr">
        <is>
          <t>Testes de navegação entre módulos e educação</t>
        </is>
      </c>
      <c r="E11" s="3" t="inlineStr">
        <is>
          <t>fluxos entre módulos, glossário e FAQ</t>
        </is>
      </c>
      <c r="F11" s="3" t="inlineStr">
        <is>
          <t>FE-043</t>
        </is>
      </c>
      <c r="G11" s="4" t="inlineStr">
        <is>
          <t>Não iniciada</t>
        </is>
      </c>
      <c r="H11" s="3" t="inlineStr">
        <is>
          <t>Navegação contextual funcionando</t>
        </is>
      </c>
      <c r="I11" s="3" t="inlineStr">
        <is>
          <t>QA / Frontend</t>
        </is>
      </c>
      <c r="J11" s="9" t="inlineStr">
        <is>
          <t>Média</t>
        </is>
      </c>
      <c r="K11" s="8" t="inlineStr"/>
      <c r="L11" s="8" t="inlineStr"/>
      <c r="M11" s="3" t="inlineStr"/>
    </row>
    <row r="12">
      <c r="A12" s="3" t="inlineStr">
        <is>
          <t>DOC-009</t>
        </is>
      </c>
      <c r="B12" s="4" t="n">
        <v>7</v>
      </c>
      <c r="C12" s="3" t="inlineStr">
        <is>
          <t>Documentação</t>
        </is>
      </c>
      <c r="D12" s="3" t="inlineStr">
        <is>
          <t>Documentar educação, glossário e FAQ</t>
        </is>
      </c>
      <c r="E12" s="3" t="inlineStr">
        <is>
          <t>docs/user-guide.md; docs/content-guide.md</t>
        </is>
      </c>
      <c r="F12" s="3" t="inlineStr">
        <is>
          <t>BE-048, FE-044</t>
        </is>
      </c>
      <c r="G12" s="4" t="inlineStr">
        <is>
          <t>Não iniciada</t>
        </is>
      </c>
      <c r="H12" s="3" t="inlineStr">
        <is>
          <t>Camada educativa documentada</t>
        </is>
      </c>
      <c r="I12" s="3" t="inlineStr">
        <is>
          <t>Documentação</t>
        </is>
      </c>
      <c r="J12" s="9" t="inlineStr">
        <is>
          <t>Média</t>
        </is>
      </c>
      <c r="K12" s="8" t="inlineStr"/>
      <c r="L12" s="8" t="inlineStr"/>
      <c r="M12" s="3" t="inlineStr"/>
    </row>
  </sheetData>
  <autoFilter ref="A1:M12"/>
  <dataValidations count="1">
    <dataValidation sqref="G2:G12" showDropDown="0" showInputMessage="0" showErrorMessage="0" allowBlank="0" type="list">
      <formula1>"Não iniciada,Em andamento,Bloqueada,Em validação,Concluída"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2" customWidth="1" min="4" max="4"/>
    <col width="44" customWidth="1" min="5" max="5"/>
    <col width="22" customWidth="1" min="6" max="6"/>
    <col width="16" customWidth="1" min="7" max="7"/>
    <col width="38" customWidth="1" min="8" max="8"/>
    <col width="22" customWidth="1" min="9" max="9"/>
    <col width="12" customWidth="1" min="10" max="10"/>
    <col width="12" customWidth="1" min="11" max="11"/>
    <col width="14" customWidth="1" min="12" max="12"/>
    <col width="28" customWidth="1" min="13" max="13"/>
  </cols>
  <sheetData>
    <row r="1">
      <c r="A1" s="6" t="inlineStr">
        <is>
          <t>ID</t>
        </is>
      </c>
      <c r="B1" s="6" t="inlineStr">
        <is>
          <t>Sprint</t>
        </is>
      </c>
      <c r="C1" s="6" t="inlineStr">
        <is>
          <t>Área</t>
        </is>
      </c>
      <c r="D1" s="6" t="inlineStr">
        <is>
          <t>Descrição</t>
        </is>
      </c>
      <c r="E1" s="6" t="inlineStr">
        <is>
          <t>Arquivos principais</t>
        </is>
      </c>
      <c r="F1" s="6" t="inlineStr">
        <is>
          <t>Dependências</t>
        </is>
      </c>
      <c r="G1" s="6" t="inlineStr">
        <is>
          <t>Status</t>
        </is>
      </c>
      <c r="H1" s="6" t="inlineStr">
        <is>
          <t>Critério de aceite</t>
        </is>
      </c>
      <c r="I1" s="6" t="inlineStr">
        <is>
          <t>Responsável principal</t>
        </is>
      </c>
      <c r="J1" s="6" t="inlineStr">
        <is>
          <t>Prioridade</t>
        </is>
      </c>
      <c r="K1" s="6" t="inlineStr">
        <is>
          <t>Data início</t>
        </is>
      </c>
      <c r="L1" s="6" t="inlineStr">
        <is>
          <t>Data conclusão</t>
        </is>
      </c>
      <c r="M1" s="6" t="inlineStr">
        <is>
          <t>Observações/Bloqueios</t>
        </is>
      </c>
    </row>
    <row r="2">
      <c r="A2" s="3" t="inlineStr">
        <is>
          <t>BE-049</t>
        </is>
      </c>
      <c r="B2" s="4" t="n">
        <v>8</v>
      </c>
      <c r="C2" s="3" t="inlineStr">
        <is>
          <t>Backend</t>
        </is>
      </c>
      <c r="D2" s="3" t="inlineStr">
        <is>
          <t>Implementar serviço de exportação PDF</t>
        </is>
      </c>
      <c r="E2" s="3" t="inlineStr">
        <is>
          <t>pdf_exporter.py</t>
        </is>
      </c>
      <c r="F2" s="3" t="inlineStr">
        <is>
          <t>módulos do MVP concluídos</t>
        </is>
      </c>
      <c r="G2" s="4" t="inlineStr">
        <is>
          <t>Não iniciada</t>
        </is>
      </c>
      <c r="H2" s="3" t="inlineStr">
        <is>
          <t>PDF básico gerado com dados principais</t>
        </is>
      </c>
      <c r="I2" s="3" t="inlineStr">
        <is>
          <t>Backend</t>
        </is>
      </c>
      <c r="J2" s="9" t="inlineStr">
        <is>
          <t>Média</t>
        </is>
      </c>
      <c r="K2" s="8" t="inlineStr"/>
      <c r="L2" s="8" t="inlineStr"/>
      <c r="M2" s="3" t="inlineStr"/>
    </row>
    <row r="3">
      <c r="A3" s="3" t="inlineStr">
        <is>
          <t>BE-050</t>
        </is>
      </c>
      <c r="B3" s="4" t="n">
        <v>8</v>
      </c>
      <c r="C3" s="3" t="inlineStr">
        <is>
          <t>Backend</t>
        </is>
      </c>
      <c r="D3" s="3" t="inlineStr">
        <is>
          <t>Implementar serviço de exportação Excel</t>
        </is>
      </c>
      <c r="E3" s="3" t="inlineStr">
        <is>
          <t>excel_exporter.py</t>
        </is>
      </c>
      <c r="F3" s="3" t="inlineStr">
        <is>
          <t>módulos do MVP concluídos</t>
        </is>
      </c>
      <c r="G3" s="4" t="inlineStr">
        <is>
          <t>Não iniciada</t>
        </is>
      </c>
      <c r="H3" s="3" t="inlineStr">
        <is>
          <t>Excel básico gerado com dados tabulares</t>
        </is>
      </c>
      <c r="I3" s="3" t="inlineStr">
        <is>
          <t>Backend</t>
        </is>
      </c>
      <c r="J3" s="9" t="inlineStr">
        <is>
          <t>Média</t>
        </is>
      </c>
      <c r="K3" s="8" t="inlineStr"/>
      <c r="L3" s="8" t="inlineStr"/>
      <c r="M3" s="3" t="inlineStr"/>
    </row>
    <row r="4">
      <c r="A4" s="3" t="inlineStr">
        <is>
          <t>BE-051</t>
        </is>
      </c>
      <c r="B4" s="4" t="n">
        <v>8</v>
      </c>
      <c r="C4" s="3" t="inlineStr">
        <is>
          <t>Backend</t>
        </is>
      </c>
      <c r="D4" s="3" t="inlineStr">
        <is>
          <t>Criar rotas de exportação</t>
        </is>
      </c>
      <c r="E4" s="3" t="inlineStr">
        <is>
          <t>export_service.py; export.py</t>
        </is>
      </c>
      <c r="F4" s="3" t="inlineStr">
        <is>
          <t>BE-049, BE-050</t>
        </is>
      </c>
      <c r="G4" s="4" t="inlineStr">
        <is>
          <t>Não iniciada</t>
        </is>
      </c>
      <c r="H4" s="3" t="inlineStr">
        <is>
          <t>Rotas de exportação funcionais</t>
        </is>
      </c>
      <c r="I4" s="3" t="inlineStr">
        <is>
          <t>Backend</t>
        </is>
      </c>
      <c r="J4" s="9" t="inlineStr">
        <is>
          <t>Média</t>
        </is>
      </c>
      <c r="K4" s="8" t="inlineStr"/>
      <c r="L4" s="8" t="inlineStr"/>
      <c r="M4" s="3" t="inlineStr"/>
    </row>
    <row r="5">
      <c r="A5" s="3" t="inlineStr">
        <is>
          <t>FE-045</t>
        </is>
      </c>
      <c r="B5" s="4" t="n">
        <v>8</v>
      </c>
      <c r="C5" s="3" t="inlineStr">
        <is>
          <t>Frontend</t>
        </is>
      </c>
      <c r="D5" s="3" t="inlineStr">
        <is>
          <t>Criar botão de exportação reutilizável</t>
        </is>
      </c>
      <c r="E5" s="3" t="inlineStr">
        <is>
          <t>ExportButton.tsx</t>
        </is>
      </c>
      <c r="F5" s="3" t="inlineStr">
        <is>
          <t>FE-009, BE-051</t>
        </is>
      </c>
      <c r="G5" s="4" t="inlineStr">
        <is>
          <t>Não iniciada</t>
        </is>
      </c>
      <c r="H5" s="3" t="inlineStr">
        <is>
          <t>Botão reutilizável integrado ao fluxo</t>
        </is>
      </c>
      <c r="I5" s="3" t="inlineStr">
        <is>
          <t>Frontend</t>
        </is>
      </c>
      <c r="J5" s="9" t="inlineStr">
        <is>
          <t>Média</t>
        </is>
      </c>
      <c r="K5" s="8" t="inlineStr"/>
      <c r="L5" s="8" t="inlineStr"/>
      <c r="M5" s="3" t="inlineStr"/>
    </row>
    <row r="6">
      <c r="A6" s="3" t="inlineStr">
        <is>
          <t>FE-046</t>
        </is>
      </c>
      <c r="B6" s="4" t="n">
        <v>8</v>
      </c>
      <c r="C6" s="3" t="inlineStr">
        <is>
          <t>Frontend</t>
        </is>
      </c>
      <c r="D6" s="3" t="inlineStr">
        <is>
          <t>Integrar exportação aos módulos prioritários</t>
        </is>
      </c>
      <c r="E6" s="3" t="inlineStr">
        <is>
          <t>páginas dos módulos prioritários</t>
        </is>
      </c>
      <c r="F6" s="3" t="inlineStr">
        <is>
          <t>FE-045</t>
        </is>
      </c>
      <c r="G6" s="4" t="inlineStr">
        <is>
          <t>Não iniciada</t>
        </is>
      </c>
      <c r="H6" s="3" t="inlineStr">
        <is>
          <t>Exportação acessível nos módulos prioritários</t>
        </is>
      </c>
      <c r="I6" s="3" t="inlineStr">
        <is>
          <t>Frontend</t>
        </is>
      </c>
      <c r="J6" s="9" t="inlineStr">
        <is>
          <t>Média</t>
        </is>
      </c>
      <c r="K6" s="8" t="inlineStr"/>
      <c r="L6" s="8" t="inlineStr"/>
      <c r="M6" s="3" t="inlineStr"/>
    </row>
    <row r="7">
      <c r="A7" s="3" t="inlineStr">
        <is>
          <t>FE-047</t>
        </is>
      </c>
      <c r="B7" s="4" t="n">
        <v>8</v>
      </c>
      <c r="C7" s="3" t="inlineStr">
        <is>
          <t>Frontend</t>
        </is>
      </c>
      <c r="D7" s="3" t="inlineStr">
        <is>
          <t>Revisar responsividade global</t>
        </is>
      </c>
      <c r="E7" s="3" t="inlineStr">
        <is>
          <t>layout, páginas e componentes principais</t>
        </is>
      </c>
      <c r="F7" s="3" t="inlineStr">
        <is>
          <t>FE-046</t>
        </is>
      </c>
      <c r="G7" s="4" t="inlineStr">
        <is>
          <t>Não iniciada</t>
        </is>
      </c>
      <c r="H7" s="3" t="inlineStr">
        <is>
          <t>Navegação e leitura adequadas em desktop/tablet/mobile</t>
        </is>
      </c>
      <c r="I7" s="3" t="inlineStr">
        <is>
          <t>Frontend</t>
        </is>
      </c>
      <c r="J7" s="7" t="inlineStr">
        <is>
          <t>Alta</t>
        </is>
      </c>
      <c r="K7" s="8" t="inlineStr"/>
      <c r="L7" s="8" t="inlineStr"/>
      <c r="M7" s="3" t="inlineStr"/>
    </row>
    <row r="8">
      <c r="A8" s="3" t="inlineStr">
        <is>
          <t>FE-048</t>
        </is>
      </c>
      <c r="B8" s="4" t="n">
        <v>8</v>
      </c>
      <c r="C8" s="3" t="inlineStr">
        <is>
          <t>Frontend</t>
        </is>
      </c>
      <c r="D8" s="3" t="inlineStr">
        <is>
          <t>Revisar estados de erro e loading</t>
        </is>
      </c>
      <c r="E8" s="3" t="inlineStr">
        <is>
          <t>componentes e páginas do MVP</t>
        </is>
      </c>
      <c r="F8" s="3" t="inlineStr">
        <is>
          <t>FE-008, FE-047</t>
        </is>
      </c>
      <c r="G8" s="4" t="inlineStr">
        <is>
          <t>Não iniciada</t>
        </is>
      </c>
      <c r="H8" s="3" t="inlineStr">
        <is>
          <t>Erros e carregamento consistentes em todo o MVP</t>
        </is>
      </c>
      <c r="I8" s="3" t="inlineStr">
        <is>
          <t>Frontend</t>
        </is>
      </c>
      <c r="J8" s="7" t="inlineStr">
        <is>
          <t>Alta</t>
        </is>
      </c>
      <c r="K8" s="8" t="inlineStr"/>
      <c r="L8" s="8" t="inlineStr"/>
      <c r="M8" s="3" t="inlineStr"/>
    </row>
    <row r="9">
      <c r="A9" s="3" t="inlineStr">
        <is>
          <t>FE-049</t>
        </is>
      </c>
      <c r="B9" s="4" t="n">
        <v>8</v>
      </c>
      <c r="C9" s="3" t="inlineStr">
        <is>
          <t>Frontend</t>
        </is>
      </c>
      <c r="D9" s="3" t="inlineStr">
        <is>
          <t>Ajustes finais de consistência visual</t>
        </is>
      </c>
      <c r="E9" s="3" t="inlineStr">
        <is>
          <t>componentes-base e páginas do MVP</t>
        </is>
      </c>
      <c r="F9" s="3" t="inlineStr">
        <is>
          <t>FE-047, FE-048</t>
        </is>
      </c>
      <c r="G9" s="4" t="inlineStr">
        <is>
          <t>Não iniciada</t>
        </is>
      </c>
      <c r="H9" s="3" t="inlineStr">
        <is>
          <t>Padrão visual uniforme</t>
        </is>
      </c>
      <c r="I9" s="3" t="inlineStr">
        <is>
          <t>Frontend / UX</t>
        </is>
      </c>
      <c r="J9" s="7" t="inlineStr">
        <is>
          <t>Alta</t>
        </is>
      </c>
      <c r="K9" s="8" t="inlineStr"/>
      <c r="L9" s="8" t="inlineStr"/>
      <c r="M9" s="3" t="inlineStr"/>
    </row>
    <row r="10">
      <c r="A10" s="3" t="inlineStr">
        <is>
          <t>QA-018</t>
        </is>
      </c>
      <c r="B10" s="4" t="n">
        <v>8</v>
      </c>
      <c r="C10" s="3" t="inlineStr">
        <is>
          <t>Testes</t>
        </is>
      </c>
      <c r="D10" s="3" t="inlineStr">
        <is>
          <t>Testes de exportação</t>
        </is>
      </c>
      <c r="E10" s="3" t="inlineStr">
        <is>
          <t>backend e frontend de exportação</t>
        </is>
      </c>
      <c r="F10" s="3" t="inlineStr">
        <is>
          <t>BE-051, FE-046</t>
        </is>
      </c>
      <c r="G10" s="4" t="inlineStr">
        <is>
          <t>Não iniciada</t>
        </is>
      </c>
      <c r="H10" s="3" t="inlineStr">
        <is>
          <t>PDF e Excel gerados e acionados corretamente</t>
        </is>
      </c>
      <c r="I10" s="3" t="inlineStr">
        <is>
          <t>QA</t>
        </is>
      </c>
      <c r="J10" s="9" t="inlineStr">
        <is>
          <t>Média</t>
        </is>
      </c>
      <c r="K10" s="8" t="inlineStr"/>
      <c r="L10" s="8" t="inlineStr"/>
      <c r="M10" s="3" t="inlineStr"/>
    </row>
    <row r="11">
      <c r="A11" s="3" t="inlineStr">
        <is>
          <t>QA-019</t>
        </is>
      </c>
      <c r="B11" s="4" t="n">
        <v>8</v>
      </c>
      <c r="C11" s="3" t="inlineStr">
        <is>
          <t>Testes</t>
        </is>
      </c>
      <c r="D11" s="3" t="inlineStr">
        <is>
          <t>Regressão principal do backend</t>
        </is>
      </c>
      <c r="E11" s="3" t="inlineStr">
        <is>
          <t>suíte de regressão dos módulos do MVP</t>
        </is>
      </c>
      <c r="F11" s="3" t="inlineStr">
        <is>
          <t>todos os módulos do MVP</t>
        </is>
      </c>
      <c r="G11" s="4" t="inlineStr">
        <is>
          <t>Não iniciada</t>
        </is>
      </c>
      <c r="H11" s="3" t="inlineStr">
        <is>
          <t>Módulos centrais mantêm comportamento válido</t>
        </is>
      </c>
      <c r="I11" s="3" t="inlineStr">
        <is>
          <t>QA / Backend</t>
        </is>
      </c>
      <c r="J11" s="7" t="inlineStr">
        <is>
          <t>Alta</t>
        </is>
      </c>
      <c r="K11" s="8" t="inlineStr"/>
      <c r="L11" s="8" t="inlineStr"/>
      <c r="M11" s="3" t="inlineStr"/>
    </row>
    <row r="12">
      <c r="A12" s="3" t="inlineStr">
        <is>
          <t>QA-020</t>
        </is>
      </c>
      <c r="B12" s="4" t="n">
        <v>8</v>
      </c>
      <c r="C12" s="3" t="inlineStr">
        <is>
          <t>Testes</t>
        </is>
      </c>
      <c r="D12" s="3" t="inlineStr">
        <is>
          <t>Regressão principal do frontend</t>
        </is>
      </c>
      <c r="E12" s="3" t="inlineStr">
        <is>
          <t>suíte de regressão do MVP</t>
        </is>
      </c>
      <c r="F12" s="3" t="inlineStr">
        <is>
          <t>todos os módulos do MVP</t>
        </is>
      </c>
      <c r="G12" s="4" t="inlineStr">
        <is>
          <t>Não iniciada</t>
        </is>
      </c>
      <c r="H12" s="3" t="inlineStr">
        <is>
          <t>Fluxos centrais permanecem íntegros</t>
        </is>
      </c>
      <c r="I12" s="3" t="inlineStr">
        <is>
          <t>QA / Frontend</t>
        </is>
      </c>
      <c r="J12" s="7" t="inlineStr">
        <is>
          <t>Alta</t>
        </is>
      </c>
      <c r="K12" s="8" t="inlineStr"/>
      <c r="L12" s="8" t="inlineStr"/>
      <c r="M12" s="3" t="inlineStr"/>
    </row>
    <row r="13">
      <c r="A13" s="3" t="inlineStr">
        <is>
          <t>QA-021</t>
        </is>
      </c>
      <c r="B13" s="4" t="n">
        <v>8</v>
      </c>
      <c r="C13" s="3" t="inlineStr">
        <is>
          <t>Testes</t>
        </is>
      </c>
      <c r="D13" s="3" t="inlineStr">
        <is>
          <t>Checklist manual do MVP</t>
        </is>
      </c>
      <c r="E13" s="3" t="inlineStr">
        <is>
          <t>checklist operacional</t>
        </is>
      </c>
      <c r="F13" s="3" t="inlineStr">
        <is>
          <t>FE-049, QA-019, QA-020</t>
        </is>
      </c>
      <c r="G13" s="4" t="inlineStr">
        <is>
          <t>Não iniciada</t>
        </is>
      </c>
      <c r="H13" s="3" t="inlineStr">
        <is>
          <t>MVP validado ponta a ponta manualmente</t>
        </is>
      </c>
      <c r="I13" s="3" t="inlineStr">
        <is>
          <t>QA / Produto</t>
        </is>
      </c>
      <c r="J13" s="7" t="inlineStr">
        <is>
          <t>Alta</t>
        </is>
      </c>
      <c r="K13" s="8" t="inlineStr"/>
      <c r="L13" s="8" t="inlineStr"/>
      <c r="M13" s="3" t="inlineStr"/>
    </row>
    <row r="14">
      <c r="A14" s="3" t="inlineStr">
        <is>
          <t>DOC-010</t>
        </is>
      </c>
      <c r="B14" s="4" t="n">
        <v>8</v>
      </c>
      <c r="C14" s="3" t="inlineStr">
        <is>
          <t>Documentação</t>
        </is>
      </c>
      <c r="D14" s="3" t="inlineStr">
        <is>
          <t>Documentar exportação e fechamento do MVP</t>
        </is>
      </c>
      <c r="E14" s="3" t="inlineStr">
        <is>
          <t>README.md; docs/user-guide.md; docs/api-contract.md</t>
        </is>
      </c>
      <c r="F14" s="3" t="inlineStr">
        <is>
          <t>BE-051, FE-046</t>
        </is>
      </c>
      <c r="G14" s="4" t="inlineStr">
        <is>
          <t>Não iniciada</t>
        </is>
      </c>
      <c r="H14" s="3" t="inlineStr">
        <is>
          <t>Execução, exportação e uso do MVP documentados</t>
        </is>
      </c>
      <c r="I14" s="3" t="inlineStr">
        <is>
          <t>Documentação</t>
        </is>
      </c>
      <c r="J14" s="9" t="inlineStr">
        <is>
          <t>Média</t>
        </is>
      </c>
      <c r="K14" s="8" t="inlineStr"/>
      <c r="L14" s="8" t="inlineStr"/>
      <c r="M14" s="3" t="inlineStr"/>
    </row>
  </sheetData>
  <autoFilter ref="A1:M14"/>
  <dataValidations count="1">
    <dataValidation sqref="G2:G14" showDropDown="0" showInputMessage="0" showErrorMessage="0" allowBlank="0" type="list">
      <formula1>"Não iniciada,Em andamento,Bloqueada,Em validação,Concluída"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2" customWidth="1" min="4" max="4"/>
    <col width="44" customWidth="1" min="5" max="5"/>
    <col width="22" customWidth="1" min="6" max="6"/>
    <col width="16" customWidth="1" min="7" max="7"/>
    <col width="38" customWidth="1" min="8" max="8"/>
    <col width="22" customWidth="1" min="9" max="9"/>
    <col width="12" customWidth="1" min="10" max="10"/>
    <col width="12" customWidth="1" min="11" max="11"/>
    <col width="14" customWidth="1" min="12" max="12"/>
    <col width="28" customWidth="1" min="13" max="13"/>
  </cols>
  <sheetData>
    <row r="1">
      <c r="A1" s="6" t="inlineStr">
        <is>
          <t>ID</t>
        </is>
      </c>
      <c r="B1" s="6" t="inlineStr">
        <is>
          <t>Sprint</t>
        </is>
      </c>
      <c r="C1" s="6" t="inlineStr">
        <is>
          <t>Área</t>
        </is>
      </c>
      <c r="D1" s="6" t="inlineStr">
        <is>
          <t>Descrição</t>
        </is>
      </c>
      <c r="E1" s="6" t="inlineStr">
        <is>
          <t>Arquivos principais</t>
        </is>
      </c>
      <c r="F1" s="6" t="inlineStr">
        <is>
          <t>Dependências</t>
        </is>
      </c>
      <c r="G1" s="6" t="inlineStr">
        <is>
          <t>Status</t>
        </is>
      </c>
      <c r="H1" s="6" t="inlineStr">
        <is>
          <t>Critério de aceite</t>
        </is>
      </c>
      <c r="I1" s="6" t="inlineStr">
        <is>
          <t>Responsável principal</t>
        </is>
      </c>
      <c r="J1" s="6" t="inlineStr">
        <is>
          <t>Prioridade</t>
        </is>
      </c>
      <c r="K1" s="6" t="inlineStr">
        <is>
          <t>Data início</t>
        </is>
      </c>
      <c r="L1" s="6" t="inlineStr">
        <is>
          <t>Data conclusão</t>
        </is>
      </c>
      <c r="M1" s="6" t="inlineStr">
        <is>
          <t>Observações/Bloqueios</t>
        </is>
      </c>
    </row>
    <row r="2">
      <c r="A2" s="3" t="inlineStr">
        <is>
          <t>BE-052</t>
        </is>
      </c>
      <c r="B2" s="4" t="n">
        <v>9</v>
      </c>
      <c r="C2" s="3" t="inlineStr">
        <is>
          <t>Backend</t>
        </is>
      </c>
      <c r="D2" s="3" t="inlineStr">
        <is>
          <t>Criar schema de Investir ou Quitar</t>
        </is>
      </c>
      <c r="E2" s="3" t="inlineStr">
        <is>
          <t>invest_vs_debt.py</t>
        </is>
      </c>
      <c r="F2" s="3" t="inlineStr">
        <is>
          <t>BE-003</t>
        </is>
      </c>
      <c r="G2" s="4" t="inlineStr">
        <is>
          <t>Não iniciada</t>
        </is>
      </c>
      <c r="H2" s="3" t="inlineStr">
        <is>
          <t>Contrato do módulo definido</t>
        </is>
      </c>
      <c r="I2" s="3" t="inlineStr">
        <is>
          <t>Backend</t>
        </is>
      </c>
      <c r="J2" s="9" t="inlineStr">
        <is>
          <t>Média</t>
        </is>
      </c>
      <c r="K2" s="8" t="inlineStr"/>
      <c r="L2" s="8" t="inlineStr"/>
      <c r="M2" s="3" t="inlineStr"/>
    </row>
    <row r="3">
      <c r="A3" s="3" t="inlineStr">
        <is>
          <t>BE-053</t>
        </is>
      </c>
      <c r="B3" s="4" t="n">
        <v>9</v>
      </c>
      <c r="C3" s="3" t="inlineStr">
        <is>
          <t>Backend</t>
        </is>
      </c>
      <c r="D3" s="3" t="inlineStr">
        <is>
          <t>Implementar domínio Investir ou Quitar</t>
        </is>
      </c>
      <c r="E3" s="3" t="inlineStr">
        <is>
          <t>backend/app/domain/invest_vs_debt/calculator.py</t>
        </is>
      </c>
      <c r="F3" s="3" t="inlineStr">
        <is>
          <t>BE-052</t>
        </is>
      </c>
      <c r="G3" s="4" t="inlineStr">
        <is>
          <t>Não iniciada</t>
        </is>
      </c>
      <c r="H3" s="3" t="inlineStr">
        <is>
          <t>Cenários quitar, investir e híbrido calculados corretamente</t>
        </is>
      </c>
      <c r="I3" s="3" t="inlineStr">
        <is>
          <t>Backend</t>
        </is>
      </c>
      <c r="J3" s="9" t="inlineStr">
        <is>
          <t>Média</t>
        </is>
      </c>
      <c r="K3" s="8" t="inlineStr"/>
      <c r="L3" s="8" t="inlineStr"/>
      <c r="M3" s="3" t="inlineStr"/>
    </row>
    <row r="4">
      <c r="A4" s="3" t="inlineStr">
        <is>
          <t>BE-054</t>
        </is>
      </c>
      <c r="B4" s="4" t="n">
        <v>9</v>
      </c>
      <c r="C4" s="3" t="inlineStr">
        <is>
          <t>Backend</t>
        </is>
      </c>
      <c r="D4" s="3" t="inlineStr">
        <is>
          <t>Criar serviço Investir ou Quitar</t>
        </is>
      </c>
      <c r="E4" s="3" t="inlineStr">
        <is>
          <t>invest_vs_debt_service.py</t>
        </is>
      </c>
      <c r="F4" s="3" t="inlineStr">
        <is>
          <t>BE-053</t>
        </is>
      </c>
      <c r="G4" s="4" t="inlineStr">
        <is>
          <t>Não iniciada</t>
        </is>
      </c>
      <c r="H4" s="3" t="inlineStr">
        <is>
          <t>Serviço monta comparação, alertas e interpretação</t>
        </is>
      </c>
      <c r="I4" s="3" t="inlineStr">
        <is>
          <t>Backend</t>
        </is>
      </c>
      <c r="J4" s="9" t="inlineStr">
        <is>
          <t>Média</t>
        </is>
      </c>
      <c r="K4" s="8" t="inlineStr"/>
      <c r="L4" s="8" t="inlineStr"/>
      <c r="M4" s="3" t="inlineStr"/>
    </row>
    <row r="5">
      <c r="A5" s="3" t="inlineStr">
        <is>
          <t>BE-055</t>
        </is>
      </c>
      <c r="B5" s="4" t="n">
        <v>9</v>
      </c>
      <c r="C5" s="3" t="inlineStr">
        <is>
          <t>Backend</t>
        </is>
      </c>
      <c r="D5" s="3" t="inlineStr">
        <is>
          <t>Criar endpoint Investir ou Quitar</t>
        </is>
      </c>
      <c r="E5" s="3" t="inlineStr">
        <is>
          <t>backend/app/api/routes/invest_vs_debt.py</t>
        </is>
      </c>
      <c r="F5" s="3" t="inlineStr">
        <is>
          <t>BE-054</t>
        </is>
      </c>
      <c r="G5" s="4" t="inlineStr">
        <is>
          <t>Não iniciada</t>
        </is>
      </c>
      <c r="H5" s="3" t="inlineStr">
        <is>
          <t>POST /api/v1/invest-vs-debt funcional</t>
        </is>
      </c>
      <c r="I5" s="3" t="inlineStr">
        <is>
          <t>Backend</t>
        </is>
      </c>
      <c r="J5" s="9" t="inlineStr">
        <is>
          <t>Média</t>
        </is>
      </c>
      <c r="K5" s="8" t="inlineStr"/>
      <c r="L5" s="8" t="inlineStr"/>
      <c r="M5" s="3" t="inlineStr"/>
    </row>
    <row r="6">
      <c r="A6" s="3" t="inlineStr">
        <is>
          <t>FE-050</t>
        </is>
      </c>
      <c r="B6" s="4" t="n">
        <v>9</v>
      </c>
      <c r="C6" s="3" t="inlineStr">
        <is>
          <t>Frontend</t>
        </is>
      </c>
      <c r="D6" s="3" t="inlineStr">
        <is>
          <t>Criar página Investir ou Quitar</t>
        </is>
      </c>
      <c r="E6" s="3" t="inlineStr">
        <is>
          <t>frontend/src/app/investir-ou-quitar/page.tsx</t>
        </is>
      </c>
      <c r="F6" s="3" t="inlineStr">
        <is>
          <t>FE-007</t>
        </is>
      </c>
      <c r="G6" s="4" t="inlineStr">
        <is>
          <t>Não iniciada</t>
        </is>
      </c>
      <c r="H6" s="3" t="inlineStr">
        <is>
          <t>Página criada</t>
        </is>
      </c>
      <c r="I6" s="3" t="inlineStr">
        <is>
          <t>Frontend</t>
        </is>
      </c>
      <c r="J6" s="9" t="inlineStr">
        <is>
          <t>Média</t>
        </is>
      </c>
      <c r="K6" s="8" t="inlineStr"/>
      <c r="L6" s="8" t="inlineStr"/>
      <c r="M6" s="3" t="inlineStr"/>
    </row>
    <row r="7">
      <c r="A7" s="3" t="inlineStr">
        <is>
          <t>FE-051</t>
        </is>
      </c>
      <c r="B7" s="4" t="n">
        <v>9</v>
      </c>
      <c r="C7" s="3" t="inlineStr">
        <is>
          <t>Frontend</t>
        </is>
      </c>
      <c r="D7" s="3" t="inlineStr">
        <is>
          <t>Criar formulário Investir ou Quitar</t>
        </is>
      </c>
      <c r="E7" s="3" t="inlineStr">
        <is>
          <t>InvestVsDebtForm.tsx</t>
        </is>
      </c>
      <c r="F7" s="3" t="inlineStr">
        <is>
          <t>FE-050</t>
        </is>
      </c>
      <c r="G7" s="4" t="inlineStr">
        <is>
          <t>Não iniciada</t>
        </is>
      </c>
      <c r="H7" s="3" t="inlineStr">
        <is>
          <t>Formulário funcional</t>
        </is>
      </c>
      <c r="I7" s="3" t="inlineStr">
        <is>
          <t>Frontend</t>
        </is>
      </c>
      <c r="J7" s="9" t="inlineStr">
        <is>
          <t>Média</t>
        </is>
      </c>
      <c r="K7" s="8" t="inlineStr"/>
      <c r="L7" s="8" t="inlineStr"/>
      <c r="M7" s="3" t="inlineStr"/>
    </row>
    <row r="8">
      <c r="A8" s="3" t="inlineStr">
        <is>
          <t>FE-052</t>
        </is>
      </c>
      <c r="B8" s="4" t="n">
        <v>9</v>
      </c>
      <c r="C8" s="3" t="inlineStr">
        <is>
          <t>Frontend</t>
        </is>
      </c>
      <c r="D8" s="3" t="inlineStr">
        <is>
          <t>Criar visualização comparativa Investir ou Quitar</t>
        </is>
      </c>
      <c r="E8" s="3" t="inlineStr">
        <is>
          <t>componentes do módulo</t>
        </is>
      </c>
      <c r="F8" s="3" t="inlineStr">
        <is>
          <t>FE-051, BE-055</t>
        </is>
      </c>
      <c r="G8" s="4" t="inlineStr">
        <is>
          <t>Não iniciada</t>
        </is>
      </c>
      <c r="H8" s="3" t="inlineStr">
        <is>
          <t>Três cenários exibidos com interpretação</t>
        </is>
      </c>
      <c r="I8" s="3" t="inlineStr">
        <is>
          <t>Frontend</t>
        </is>
      </c>
      <c r="J8" s="9" t="inlineStr">
        <is>
          <t>Média</t>
        </is>
      </c>
      <c r="K8" s="8" t="inlineStr"/>
      <c r="L8" s="8" t="inlineStr"/>
      <c r="M8" s="3" t="inlineStr"/>
    </row>
    <row r="9">
      <c r="A9" s="3" t="inlineStr">
        <is>
          <t>BE-056</t>
        </is>
      </c>
      <c r="B9" s="4" t="n">
        <v>9</v>
      </c>
      <c r="C9" s="3" t="inlineStr">
        <is>
          <t>Backend</t>
        </is>
      </c>
      <c r="D9" s="3" t="inlineStr">
        <is>
          <t>Criar modelos iniciais de persistência de simulação</t>
        </is>
      </c>
      <c r="E9" s="3" t="inlineStr">
        <is>
          <t>simulation.py; simulation_input.py; simulation_result.py</t>
        </is>
      </c>
      <c r="F9" s="3" t="inlineStr">
        <is>
          <t>Arquitetura base</t>
        </is>
      </c>
      <c r="G9" s="4" t="inlineStr">
        <is>
          <t>Não iniciada</t>
        </is>
      </c>
      <c r="H9" s="3" t="inlineStr">
        <is>
          <t>Modelos coerentes com a modelagem de dados</t>
        </is>
      </c>
      <c r="I9" s="3" t="inlineStr">
        <is>
          <t>Backend</t>
        </is>
      </c>
      <c r="J9" s="9" t="inlineStr">
        <is>
          <t>Média</t>
        </is>
      </c>
      <c r="K9" s="8" t="inlineStr"/>
      <c r="L9" s="8" t="inlineStr"/>
      <c r="M9" s="3" t="inlineStr"/>
    </row>
    <row r="10">
      <c r="A10" s="3" t="inlineStr">
        <is>
          <t>BE-057</t>
        </is>
      </c>
      <c r="B10" s="4" t="n">
        <v>9</v>
      </c>
      <c r="C10" s="3" t="inlineStr">
        <is>
          <t>Backend</t>
        </is>
      </c>
      <c r="D10" s="3" t="inlineStr">
        <is>
          <t>Criar repositório de simulações</t>
        </is>
      </c>
      <c r="E10" s="3" t="inlineStr">
        <is>
          <t>simulation_repository.py</t>
        </is>
      </c>
      <c r="F10" s="3" t="inlineStr">
        <is>
          <t>BE-056</t>
        </is>
      </c>
      <c r="G10" s="4" t="inlineStr">
        <is>
          <t>Não iniciada</t>
        </is>
      </c>
      <c r="H10" s="3" t="inlineStr">
        <is>
          <t>Persistência encapsulada em repositório</t>
        </is>
      </c>
      <c r="I10" s="3" t="inlineStr">
        <is>
          <t>Backend</t>
        </is>
      </c>
      <c r="J10" s="9" t="inlineStr">
        <is>
          <t>Média</t>
        </is>
      </c>
      <c r="K10" s="8" t="inlineStr"/>
      <c r="L10" s="8" t="inlineStr"/>
      <c r="M10" s="3" t="inlineStr"/>
    </row>
    <row r="11">
      <c r="A11" s="3" t="inlineStr">
        <is>
          <t>BE-058</t>
        </is>
      </c>
      <c r="B11" s="4" t="n">
        <v>9</v>
      </c>
      <c r="C11" s="3" t="inlineStr">
        <is>
          <t>Backend</t>
        </is>
      </c>
      <c r="D11" s="3" t="inlineStr">
        <is>
          <t>Criar rotas básicas de histórico</t>
        </is>
      </c>
      <c r="E11" s="3" t="inlineStr">
        <is>
          <t>routes/simulations.py ou equivalente</t>
        </is>
      </c>
      <c r="F11" s="3" t="inlineStr">
        <is>
          <t>BE-057</t>
        </is>
      </c>
      <c r="G11" s="4" t="inlineStr">
        <is>
          <t>Não iniciada</t>
        </is>
      </c>
      <c r="H11" s="3" t="inlineStr">
        <is>
          <t>Histórico inicial consultável</t>
        </is>
      </c>
      <c r="I11" s="3" t="inlineStr">
        <is>
          <t>Backend</t>
        </is>
      </c>
      <c r="J11" s="9" t="inlineStr">
        <is>
          <t>Média</t>
        </is>
      </c>
      <c r="K11" s="8" t="inlineStr"/>
      <c r="L11" s="8" t="inlineStr"/>
      <c r="M11" s="3" t="inlineStr"/>
    </row>
    <row r="12">
      <c r="A12" s="3" t="inlineStr">
        <is>
          <t>BE-059</t>
        </is>
      </c>
      <c r="B12" s="4" t="n">
        <v>9</v>
      </c>
      <c r="C12" s="3" t="inlineStr">
        <is>
          <t>Backend</t>
        </is>
      </c>
      <c r="D12" s="3" t="inlineStr">
        <is>
          <t>Criar rotas básicas de cenário salvo</t>
        </is>
      </c>
      <c r="E12" s="3" t="inlineStr">
        <is>
          <t>rotas e serviço de cenários salvos</t>
        </is>
      </c>
      <c r="F12" s="3" t="inlineStr">
        <is>
          <t>BE-057</t>
        </is>
      </c>
      <c r="G12" s="4" t="inlineStr">
        <is>
          <t>Não iniciada</t>
        </is>
      </c>
      <c r="H12" s="3" t="inlineStr">
        <is>
          <t>Cenários podem ser salvos e recuperados</t>
        </is>
      </c>
      <c r="I12" s="3" t="inlineStr">
        <is>
          <t>Backend</t>
        </is>
      </c>
      <c r="J12" s="9" t="inlineStr">
        <is>
          <t>Média</t>
        </is>
      </c>
      <c r="K12" s="8" t="inlineStr"/>
      <c r="L12" s="8" t="inlineStr"/>
      <c r="M12" s="3" t="inlineStr"/>
    </row>
    <row r="13">
      <c r="A13" s="3" t="inlineStr">
        <is>
          <t>FE-053</t>
        </is>
      </c>
      <c r="B13" s="4" t="n">
        <v>9</v>
      </c>
      <c r="C13" s="3" t="inlineStr">
        <is>
          <t>Frontend</t>
        </is>
      </c>
      <c r="D13" s="3" t="inlineStr">
        <is>
          <t>Criar página ou seção de histórico</t>
        </is>
      </c>
      <c r="E13" s="3" t="inlineStr">
        <is>
          <t>página/área de histórico</t>
        </is>
      </c>
      <c r="F13" s="3" t="inlineStr">
        <is>
          <t>FE-007, BE-058</t>
        </is>
      </c>
      <c r="G13" s="4" t="inlineStr">
        <is>
          <t>Não iniciada</t>
        </is>
      </c>
      <c r="H13" s="3" t="inlineStr">
        <is>
          <t>Histórico inicial navegável</t>
        </is>
      </c>
      <c r="I13" s="3" t="inlineStr">
        <is>
          <t>Frontend</t>
        </is>
      </c>
      <c r="J13" s="9" t="inlineStr">
        <is>
          <t>Média</t>
        </is>
      </c>
      <c r="K13" s="8" t="inlineStr"/>
      <c r="L13" s="8" t="inlineStr"/>
      <c r="M13" s="3" t="inlineStr"/>
    </row>
    <row r="14">
      <c r="A14" s="3" t="inlineStr">
        <is>
          <t>FE-054</t>
        </is>
      </c>
      <c r="B14" s="4" t="n">
        <v>9</v>
      </c>
      <c r="C14" s="3" t="inlineStr">
        <is>
          <t>Frontend</t>
        </is>
      </c>
      <c r="D14" s="3" t="inlineStr">
        <is>
          <t>Criar listagem de simulações</t>
        </is>
      </c>
      <c r="E14" s="3" t="inlineStr">
        <is>
          <t>componente de lista de histórico</t>
        </is>
      </c>
      <c r="F14" s="3" t="inlineStr">
        <is>
          <t>FE-053</t>
        </is>
      </c>
      <c r="G14" s="4" t="inlineStr">
        <is>
          <t>Não iniciada</t>
        </is>
      </c>
      <c r="H14" s="3" t="inlineStr">
        <is>
          <t>Simulações listadas com dados básicos</t>
        </is>
      </c>
      <c r="I14" s="3" t="inlineStr">
        <is>
          <t>Frontend</t>
        </is>
      </c>
      <c r="J14" s="9" t="inlineStr">
        <is>
          <t>Média</t>
        </is>
      </c>
      <c r="K14" s="8" t="inlineStr"/>
      <c r="L14" s="8" t="inlineStr"/>
      <c r="M14" s="3" t="inlineStr"/>
    </row>
    <row r="15">
      <c r="A15" s="3" t="inlineStr">
        <is>
          <t>FE-055</t>
        </is>
      </c>
      <c r="B15" s="4" t="n">
        <v>9</v>
      </c>
      <c r="C15" s="3" t="inlineStr">
        <is>
          <t>Frontend</t>
        </is>
      </c>
      <c r="D15" s="3" t="inlineStr">
        <is>
          <t>Criar ação de salvar cenário</t>
        </is>
      </c>
      <c r="E15" s="3" t="inlineStr">
        <is>
          <t>ação/componente de salvar cenário</t>
        </is>
      </c>
      <c r="F15" s="3" t="inlineStr">
        <is>
          <t>FE-054, BE-059</t>
        </is>
      </c>
      <c r="G15" s="4" t="inlineStr">
        <is>
          <t>Não iniciada</t>
        </is>
      </c>
      <c r="H15" s="3" t="inlineStr">
        <is>
          <t>Cenário salvo via UI básica</t>
        </is>
      </c>
      <c r="I15" s="3" t="inlineStr">
        <is>
          <t>Frontend</t>
        </is>
      </c>
      <c r="J15" s="9" t="inlineStr">
        <is>
          <t>Média</t>
        </is>
      </c>
      <c r="K15" s="8" t="inlineStr"/>
      <c r="L15" s="8" t="inlineStr"/>
      <c r="M15" s="3" t="inlineStr"/>
    </row>
    <row r="16">
      <c r="A16" s="3" t="inlineStr">
        <is>
          <t>QA-022</t>
        </is>
      </c>
      <c r="B16" s="4" t="n">
        <v>9</v>
      </c>
      <c r="C16" s="3" t="inlineStr">
        <is>
          <t>Testes</t>
        </is>
      </c>
      <c r="D16" s="3" t="inlineStr">
        <is>
          <t>Testes do módulo Investir ou Quitar</t>
        </is>
      </c>
      <c r="E16" s="3" t="inlineStr">
        <is>
          <t>testes de domínio e API</t>
        </is>
      </c>
      <c r="F16" s="3" t="inlineStr">
        <is>
          <t>BE-055, FE-052</t>
        </is>
      </c>
      <c r="G16" s="4" t="inlineStr">
        <is>
          <t>Não iniciada</t>
        </is>
      </c>
      <c r="H16" s="3" t="inlineStr">
        <is>
          <t>Módulo protegido por testes essenciais</t>
        </is>
      </c>
      <c r="I16" s="3" t="inlineStr">
        <is>
          <t>QA</t>
        </is>
      </c>
      <c r="J16" s="9" t="inlineStr">
        <is>
          <t>Média</t>
        </is>
      </c>
      <c r="K16" s="8" t="inlineStr"/>
      <c r="L16" s="8" t="inlineStr"/>
      <c r="M16" s="3" t="inlineStr"/>
    </row>
    <row r="17">
      <c r="A17" s="3" t="inlineStr">
        <is>
          <t>QA-023</t>
        </is>
      </c>
      <c r="B17" s="4" t="n">
        <v>9</v>
      </c>
      <c r="C17" s="3" t="inlineStr">
        <is>
          <t>Testes</t>
        </is>
      </c>
      <c r="D17" s="3" t="inlineStr">
        <is>
          <t>Testes de persistência inicial</t>
        </is>
      </c>
      <c r="E17" s="3" t="inlineStr">
        <is>
          <t>testes do repositório, histórico e cenário salvo</t>
        </is>
      </c>
      <c r="F17" s="3" t="inlineStr">
        <is>
          <t>BE-059</t>
        </is>
      </c>
      <c r="G17" s="4" t="inlineStr">
        <is>
          <t>Não iniciada</t>
        </is>
      </c>
      <c r="H17" s="3" t="inlineStr">
        <is>
          <t>Persistência básica validada</t>
        </is>
      </c>
      <c r="I17" s="3" t="inlineStr">
        <is>
          <t>QA / Backend</t>
        </is>
      </c>
      <c r="J17" s="9" t="inlineStr">
        <is>
          <t>Média</t>
        </is>
      </c>
      <c r="K17" s="8" t="inlineStr"/>
      <c r="L17" s="8" t="inlineStr"/>
      <c r="M17" s="3" t="inlineStr"/>
    </row>
    <row r="18">
      <c r="A18" s="3" t="inlineStr">
        <is>
          <t>QA-024</t>
        </is>
      </c>
      <c r="B18" s="4" t="n">
        <v>9</v>
      </c>
      <c r="C18" s="3" t="inlineStr">
        <is>
          <t>Testes</t>
        </is>
      </c>
      <c r="D18" s="3" t="inlineStr">
        <is>
          <t>Testes frontend do histórico</t>
        </is>
      </c>
      <c r="E18" s="3" t="inlineStr">
        <is>
          <t>testes da página/listagem/ação de salvar</t>
        </is>
      </c>
      <c r="F18" s="3" t="inlineStr">
        <is>
          <t>FE-055</t>
        </is>
      </c>
      <c r="G18" s="4" t="inlineStr">
        <is>
          <t>Não iniciada</t>
        </is>
      </c>
      <c r="H18" s="3" t="inlineStr">
        <is>
          <t>Fluxo básico de histórico coberto</t>
        </is>
      </c>
      <c r="I18" s="3" t="inlineStr">
        <is>
          <t>QA / Frontend</t>
        </is>
      </c>
      <c r="J18" s="9" t="inlineStr">
        <is>
          <t>Média</t>
        </is>
      </c>
      <c r="K18" s="8" t="inlineStr"/>
      <c r="L18" s="8" t="inlineStr"/>
      <c r="M18" s="3" t="inlineStr"/>
    </row>
    <row r="19">
      <c r="A19" s="3" t="inlineStr">
        <is>
          <t>DOC-011</t>
        </is>
      </c>
      <c r="B19" s="4" t="n">
        <v>9</v>
      </c>
      <c r="C19" s="3" t="inlineStr">
        <is>
          <t>Documentação</t>
        </is>
      </c>
      <c r="D19" s="3" t="inlineStr">
        <is>
          <t>Documentar pós-MVP prioritário</t>
        </is>
      </c>
      <c r="E19" s="3" t="inlineStr">
        <is>
          <t>docs/api-contract.md; docs/user-guide.md; docs/architecture.md</t>
        </is>
      </c>
      <c r="F19" s="3" t="inlineStr">
        <is>
          <t>BE-059, FE-055</t>
        </is>
      </c>
      <c r="G19" s="4" t="inlineStr">
        <is>
          <t>Não iniciada</t>
        </is>
      </c>
      <c r="H19" s="3" t="inlineStr">
        <is>
          <t>Pós-MVP prioritário documentado</t>
        </is>
      </c>
      <c r="I19" s="3" t="inlineStr">
        <is>
          <t>Documentação</t>
        </is>
      </c>
      <c r="J19" s="9" t="inlineStr">
        <is>
          <t>Média</t>
        </is>
      </c>
      <c r="K19" s="8" t="inlineStr"/>
      <c r="L19" s="8" t="inlineStr"/>
      <c r="M19" s="3" t="inlineStr"/>
    </row>
  </sheetData>
  <autoFilter ref="A1:M19"/>
  <dataValidations count="1">
    <dataValidation sqref="G2:G19" showDropDown="0" showInputMessage="0" showErrorMessage="0" allowBlank="0" type="list">
      <formula1>"Não iniciada,Em andamento,Bloqueada,Em validação,Concluída"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2026-04-09T00:31:41Z</dcterms:created>
  <dcterms:modified xmlns:dcterms="http://purl.org/dc/terms/" xmlns:xsi="http://www.w3.org/2001/XMLSchema-instance" xsi:type="dcterms:W3CDTF">2026-04-09T00:31:41Z</dcterms:modified>
</cp:coreProperties>
</file>